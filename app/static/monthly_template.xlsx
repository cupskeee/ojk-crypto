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+/OeWj3cUZ4lje4/rWySjUSWHqHvQGdf2v9v1iNFvt4nbK8sP48a8Ys+Qyl6z6OvmTQSzztxN3Fpl+PpZNA8Sw==" workbookSaltValue="FegvVZ8jQx+ogWrSmESqhQ==" workbookSpinCount="100000"/>
  <bookViews>
    <workbookView visibility="visible" minimized="0" showHorizontalScroll="1" showVerticalScroll="1" showSheetTabs="1" xWindow="-110" yWindow="-110" windowWidth="23260" windowHeight="13180" tabRatio="600" firstSheet="0" activeTab="0" autoFilterDateGrouping="1"/>
  </bookViews>
  <sheets>
    <sheet name="Data Umum" sheetId="1" state="visible" r:id="rId1"/>
    <sheet name="Cover" sheetId="2" state="visible" r:id="rId2"/>
    <sheet name="Validasi" sheetId="3" state="visible" r:id="rId3"/>
    <sheet name="LKBPAKD" sheetId="4" state="visible" r:id="rId4"/>
    <sheet name="LRTTHP" sheetId="5" state="visible" r:id="rId5"/>
    <sheet name="LRTTOPA" sheetId="6" state="visible" r:id="rId6"/>
    <sheet name="LRTNWDA" sheetId="7" state="visible" r:id="rId7"/>
    <sheet name="Values" sheetId="8" state="hidden" r:id="rId8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_);\(0\)"/>
    <numFmt numFmtId="165" formatCode="_(* #,##0_);_(* \(#,##0\);_(* &quot; - &quot;??_);_(@_)"/>
    <numFmt numFmtId="166" formatCode="_(* #,##0.00000_);_(* \(#,##0.00000\);_(* &quot; - &quot;??_);_(@_)"/>
    <numFmt numFmtId="167" formatCode="_(* #,##0.00_);_(* \(#,##0.00\);_(* &quot; - &quot;??_);_(@_)"/>
    <numFmt numFmtId="168" formatCode="dd\-mmm\-yyyy"/>
  </numFmts>
  <fonts count="13">
    <font>
      <name val="Calibri"/>
      <sz val="11"/>
    </font>
    <font>
      <name val="Calibri"/>
      <family val="2"/>
      <b val="1"/>
      <sz val="11"/>
    </font>
    <font>
      <name val="Calibri"/>
      <family val="2"/>
      <b val="1"/>
      <sz val="16"/>
    </font>
    <font>
      <name val="Calibri"/>
      <family val="2"/>
      <color rgb="FFFFFFFF"/>
      <sz val="11"/>
    </font>
    <font>
      <name val="Calibri"/>
      <family val="2"/>
      <sz val="12"/>
    </font>
    <font>
      <name val="Calibri"/>
      <family val="2"/>
      <b val="1"/>
      <sz val="13"/>
    </font>
    <font>
      <name val="Calibri"/>
      <family val="2"/>
      <b val="1"/>
      <sz val="20"/>
    </font>
    <font>
      <name val="Calibri"/>
      <family val="2"/>
      <sz val="14"/>
    </font>
    <font>
      <name val="Calibri"/>
      <family val="2"/>
      <sz val="10"/>
    </font>
    <font>
      <name val="Calibri"/>
      <family val="2"/>
      <color rgb="FFFFFFFF"/>
      <sz val="10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FFFF00"/>
      </patternFill>
    </fill>
    <fill>
      <patternFill patternType="lightGrid">
        <fgColor rgb="FFFFFFFF"/>
        <bgColor rgb="FFD3D3D3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hair">
        <color rgb="FFD3D3D3"/>
      </left>
      <right style="hair">
        <color rgb="FFD3D3D3"/>
      </right>
      <top style="hair">
        <color rgb="FFD3D3D3"/>
      </top>
      <bottom style="hair">
        <color rgb="FFD3D3D3"/>
      </bottom>
      <diagonal/>
    </border>
    <border>
      <left style="hair">
        <color rgb="FFD3D3D3"/>
      </left>
      <right style="hair">
        <color rgb="FFD3D3D3"/>
      </right>
      <top/>
      <bottom style="hair">
        <color rgb="FFD3D3D3"/>
      </bottom>
      <diagonal/>
    </border>
    <border>
      <left/>
      <right/>
      <top/>
      <bottom style="hair">
        <color rgb="FF80808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D3D3D3"/>
      </left>
      <right/>
      <top/>
      <bottom/>
      <diagonal/>
    </border>
    <border>
      <left style="hair">
        <color rgb="FFD3D3D3"/>
      </left>
      <right style="hair">
        <color rgb="FFD3D3D3"/>
      </right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164" fontId="1" fillId="4" borderId="1" applyAlignment="1" pivotButton="0" quotePrefix="0" xfId="0">
      <alignment vertical="top"/>
    </xf>
    <xf numFmtId="0" fontId="0" fillId="5" borderId="0" applyAlignment="1" applyProtection="1" pivotButton="0" quotePrefix="0" xfId="0">
      <alignment vertical="top"/>
      <protection locked="1" hidden="1"/>
    </xf>
    <xf numFmtId="0" fontId="3" fillId="3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0" fontId="5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165" fontId="9" fillId="3" borderId="1" applyAlignment="1" pivotButton="0" quotePrefix="0" xfId="0">
      <alignment horizontal="right" vertical="top"/>
    </xf>
    <xf numFmtId="165" fontId="8" fillId="6" borderId="0" applyAlignment="1" pivotButton="0" quotePrefix="0" xfId="0">
      <alignment horizontal="right" vertical="top"/>
    </xf>
    <xf numFmtId="0" fontId="8" fillId="6" borderId="0" applyAlignment="1" pivotButton="0" quotePrefix="0" xfId="0">
      <alignment horizontal="left" vertical="top"/>
    </xf>
    <xf numFmtId="166" fontId="9" fillId="3" borderId="1" applyAlignment="1" pivotButton="0" quotePrefix="0" xfId="0">
      <alignment horizontal="right" vertical="top"/>
    </xf>
    <xf numFmtId="0" fontId="0" fillId="3" borderId="1" applyAlignment="1" applyProtection="1" pivotButton="0" quotePrefix="0" xfId="0">
      <alignment vertical="top" wrapText="1"/>
      <protection locked="0" hidden="0"/>
    </xf>
    <xf numFmtId="0" fontId="10" fillId="0" borderId="0" pivotButton="0" quotePrefix="0" xfId="0"/>
    <xf numFmtId="165" fontId="0" fillId="3" borderId="1" applyAlignment="1" applyProtection="1" pivotButton="0" quotePrefix="0" xfId="0">
      <alignment vertical="top" wrapText="1"/>
      <protection locked="0" hidden="0"/>
    </xf>
    <xf numFmtId="167" fontId="0" fillId="3" borderId="1" applyAlignment="1" applyProtection="1" pivotButton="0" quotePrefix="0" xfId="0">
      <alignment vertical="top" wrapText="1"/>
      <protection locked="0" hidden="0"/>
    </xf>
    <xf numFmtId="0" fontId="10" fillId="3" borderId="1" applyAlignment="1" applyProtection="1" pivotButton="0" quotePrefix="1" xfId="0">
      <alignment vertical="top" wrapText="1"/>
      <protection locked="0" hidden="0"/>
    </xf>
    <xf numFmtId="167" fontId="10" fillId="3" borderId="1" applyAlignment="1" applyProtection="1" pivotButton="0" quotePrefix="0" xfId="0">
      <alignment vertical="top" wrapText="1"/>
      <protection locked="0" hidden="0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4" fillId="3" borderId="3" applyAlignment="1" pivotButton="0" quotePrefix="0" xfId="0">
      <alignment horizontal="center" vertical="top" wrapText="1"/>
    </xf>
    <xf numFmtId="0" fontId="6" fillId="3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top" wrapText="1"/>
    </xf>
    <xf numFmtId="0" fontId="8" fillId="3" borderId="0" applyAlignment="1" pivotButton="0" quotePrefix="0" xfId="0">
      <alignment horizontal="center" vertical="top" wrapText="1"/>
    </xf>
    <xf numFmtId="0" fontId="8" fillId="3" borderId="0" applyAlignment="1" pivotButton="0" quotePrefix="0" xfId="0">
      <alignment horizontal="right" vertical="top" wrapText="1"/>
    </xf>
    <xf numFmtId="0" fontId="0" fillId="4" borderId="6" applyAlignment="1" pivotButton="0" quotePrefix="0" xfId="0">
      <alignment horizontal="center" vertical="top" wrapText="1"/>
    </xf>
    <xf numFmtId="0" fontId="0" fillId="4" borderId="7" applyAlignment="1" pivotButton="0" quotePrefix="0" xfId="0">
      <alignment vertical="top" wrapText="1"/>
    </xf>
    <xf numFmtId="0" fontId="0" fillId="4" borderId="4" applyAlignment="1" pivotButton="0" quotePrefix="0" xfId="0">
      <alignment vertical="top" wrapText="1"/>
    </xf>
    <xf numFmtId="0" fontId="0" fillId="4" borderId="5" applyAlignment="1" pivotButton="0" quotePrefix="0" xfId="0">
      <alignment vertical="top" wrapText="1"/>
    </xf>
    <xf numFmtId="0" fontId="0" fillId="4" borderId="9" applyAlignment="1" pivotButton="0" quotePrefix="0" xfId="0">
      <alignment horizontal="center" vertical="top" wrapText="1"/>
    </xf>
    <xf numFmtId="0" fontId="0" fillId="4" borderId="8" applyAlignment="1" pivotButton="0" quotePrefix="0" xfId="0">
      <alignment vertical="top" wrapText="1"/>
    </xf>
    <xf numFmtId="0" fontId="0" fillId="4" borderId="6" applyAlignment="1" pivotButton="0" quotePrefix="0" xfId="0">
      <alignment horizontal="left" vertical="top" wrapText="1"/>
    </xf>
    <xf numFmtId="0" fontId="0" fillId="4" borderId="6" applyAlignment="1" pivotButton="0" quotePrefix="0" xfId="0">
      <alignment horizontal="left" vertical="top" wrapText="1" indent="1"/>
    </xf>
    <xf numFmtId="0" fontId="0" fillId="4" borderId="7" applyAlignment="1" pivotButton="0" quotePrefix="0" xfId="0">
      <alignment vertical="top" wrapText="1" indent="1"/>
    </xf>
    <xf numFmtId="0" fontId="0" fillId="4" borderId="6" applyAlignment="1" pivotButton="0" quotePrefix="0" xfId="0">
      <alignment horizontal="left" vertical="top" wrapText="1" indent="2"/>
    </xf>
    <xf numFmtId="0" fontId="0" fillId="4" borderId="7" applyAlignment="1" pivotButton="0" quotePrefix="0" xfId="0">
      <alignment vertical="top" wrapText="1" indent="2"/>
    </xf>
    <xf numFmtId="0" fontId="0" fillId="4" borderId="6" applyAlignment="1" pivotButton="0" quotePrefix="0" xfId="0">
      <alignment horizontal="left" vertical="top" wrapText="1" indent="3"/>
    </xf>
    <xf numFmtId="0" fontId="0" fillId="4" borderId="7" applyAlignment="1" pivotButton="0" quotePrefix="0" xfId="0">
      <alignment vertical="top" wrapText="1" indent="3"/>
    </xf>
    <xf numFmtId="165" fontId="0" fillId="3" borderId="1" applyAlignment="1" applyProtection="1" pivotButton="0" quotePrefix="0" xfId="0">
      <alignment vertical="top" wrapText="1"/>
      <protection locked="0" hidden="0"/>
    </xf>
    <xf numFmtId="168" fontId="11" fillId="7" borderId="0" applyAlignment="1" applyProtection="1" pivotButton="0" quotePrefix="0" xfId="0">
      <alignment vertical="top"/>
      <protection locked="0" hidden="0"/>
    </xf>
    <xf numFmtId="0" fontId="11" fillId="7" borderId="0" applyAlignment="1" applyProtection="1" pivotButton="0" quotePrefix="0" xfId="0">
      <alignment vertical="top"/>
      <protection locked="0" hidden="0"/>
    </xf>
    <xf numFmtId="0" fontId="11" fillId="7" borderId="0" applyAlignment="1" applyProtection="1" pivotButton="0" quotePrefix="0" xfId="0">
      <alignment vertical="top" wrapText="1"/>
      <protection locked="0" hidden="0"/>
    </xf>
    <xf numFmtId="168" fontId="11" fillId="7" borderId="0" applyAlignment="1" applyProtection="1" pivotButton="0" quotePrefix="0" xfId="0">
      <alignment vertical="top"/>
      <protection locked="0" hidden="0"/>
    </xf>
    <xf numFmtId="0" fontId="0" fillId="0" borderId="11" pivotButton="0" quotePrefix="0" xfId="0"/>
    <xf numFmtId="0" fontId="0" fillId="0" borderId="2" pivotButton="0" quotePrefix="0" xfId="0"/>
    <xf numFmtId="164" fontId="1" fillId="4" borderId="1" applyAlignment="1" pivotButton="0" quotePrefix="0" xfId="0">
      <alignment vertical="top"/>
    </xf>
    <xf numFmtId="0" fontId="0" fillId="0" borderId="3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4" borderId="9" applyAlignment="1" pivotButton="0" quotePrefix="0" xfId="0">
      <alignment horizontal="left" vertical="top" wrapText="1"/>
    </xf>
    <xf numFmtId="165" fontId="0" fillId="3" borderId="1" applyAlignment="1" applyProtection="1" pivotButton="0" quotePrefix="0" xfId="0">
      <alignment vertical="top" wrapText="1"/>
      <protection locked="0" hidden="0"/>
    </xf>
    <xf numFmtId="165" fontId="8" fillId="6" borderId="0" applyAlignment="1" pivotButton="0" quotePrefix="0" xfId="0">
      <alignment horizontal="right" vertical="top"/>
    </xf>
    <xf numFmtId="0" fontId="0" fillId="0" borderId="8" pivotButton="0" quotePrefix="0" xfId="0"/>
    <xf numFmtId="167" fontId="10" fillId="3" borderId="1" applyAlignment="1" applyProtection="1" pivotButton="0" quotePrefix="0" xfId="0">
      <alignment vertical="top" wrapText="1"/>
      <protection locked="0" hidden="0"/>
    </xf>
    <xf numFmtId="167" fontId="0" fillId="3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/>
  </cellStyles>
  <dxfs count="4">
    <dxf>
      <fill>
        <patternFill patternType="solid">
          <bgColor rgb="FFFFC0CB"/>
        </patternFill>
      </fill>
    </dxf>
    <dxf>
      <fill>
        <patternFill patternType="solid">
          <bgColor rgb="FF90EE90"/>
        </patternFill>
      </fill>
    </dxf>
    <dxf>
      <fill>
        <patternFill patternType="solid">
          <bgColor rgb="FFFFC0CB"/>
        </patternFill>
      </fill>
    </dxf>
    <dxf>
      <fill>
        <patternFill patternType="solid">
          <bgColor rgb="FF90EE9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None</author>
  </authors>
  <commentList>
    <comment ref="D5" authorId="0" shapeId="0">
      <text>
        <t>======
ID#AAABiEF7JzA
System    (2025-04-16 07:10:41)
Format Tanggal: DD-MMM-YYYY</t>
      </text>
    </comment>
    <comment ref="D6" authorId="0" shapeId="0">
      <text>
        <t>======
ID#AAABiEF7JzI
System    (2025-04-16 07:10:41)
Mohon pastikan kode perusahaan anda kepada petugas/pejabat OJK yang terkait</t>
      </text>
    </comment>
    <comment ref="D8" authorId="0" shapeId="0">
      <text>
        <t>======
ID#AAABiEF7JzM
System    (2025-04-16 07:10:41)
Diisi dengan domisili sesuai dengan akta untuk perusahaan/pihak institusi, atau kartu identitas untuk pihak individu</t>
      </text>
    </comment>
    <comment ref="D11" authorId="0" shapeId="0">
      <text>
        <t>======
ID#AAABiEF7JzE
System    (2025-04-16 07:10:41)
Format Tanggal: DD-MMM-YYYY</t>
      </text>
    </comment>
    <comment ref="D15" authorId="0" shapeId="0">
      <text>
        <t>======
ID#AAABiEF7JzQ
System    (2025-04-16 07:10:41)
Penanggung jawab dapat diisi oleh pihak yang bertanggung jawab pada satu entitas/individu (diri sendiri)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7"/>
  <sheetViews>
    <sheetView showGridLines="0" tabSelected="1" topLeftCell="B1" workbookViewId="0">
      <selection activeCell="D6" sqref="D6"/>
    </sheetView>
  </sheetViews>
  <sheetFormatPr baseColWidth="8" defaultColWidth="9.08984375" defaultRowHeight="14.5"/>
  <cols>
    <col width="9.08984375" customWidth="1" style="1" min="1" max="1"/>
    <col width="1" customWidth="1" style="1" min="2" max="2"/>
    <col width="35" customWidth="1" style="1" min="3" max="3"/>
    <col width="42" customWidth="1" style="1" min="4" max="4"/>
    <col width="1" customWidth="1" style="1" min="5" max="5"/>
    <col width="9.08984375" customWidth="1" style="1" min="6" max="6"/>
    <col hidden="1" width="9.08984375" customWidth="1" style="1" min="7" max="9"/>
    <col width="9.08984375" customWidth="1" style="1" min="10" max="10"/>
    <col width="9.08984375" customWidth="1" style="1" min="11" max="16384"/>
  </cols>
  <sheetData>
    <row r="2" ht="5" customHeight="1">
      <c r="B2" s="7" t="inlineStr">
        <is>
          <t>B</t>
        </is>
      </c>
      <c r="C2" s="2" t="n"/>
      <c r="D2" s="2" t="n"/>
      <c r="E2" s="2" t="n"/>
    </row>
    <row r="3" ht="21" customHeight="1">
      <c r="B3" s="7" t="inlineStr">
        <is>
          <t>LBPDG</t>
        </is>
      </c>
      <c r="C3" s="3" t="inlineStr">
        <is>
          <t>Data Umum</t>
        </is>
      </c>
      <c r="D3" s="2" t="n"/>
      <c r="E3" s="2" t="n"/>
      <c r="G3" s="6">
        <f>MONTH(D11)</f>
        <v/>
      </c>
      <c r="H3" s="6" t="n">
        <v>1</v>
      </c>
      <c r="I3" s="6" t="inlineStr">
        <is>
          <t>Januari</t>
        </is>
      </c>
    </row>
    <row r="4">
      <c r="B4" s="7" t="inlineStr">
        <is>
          <t>PGAKD</t>
        </is>
      </c>
      <c r="C4" s="21" t="inlineStr">
        <is>
          <t>Versi Laporan</t>
        </is>
      </c>
      <c r="D4" s="21" t="inlineStr">
        <is>
          <t>2/7/2025 11:28:37 AM</t>
        </is>
      </c>
      <c r="E4" s="2" t="n"/>
      <c r="G4" s="6">
        <f>VLOOKUP(G3,$H$3:$I$14,2,FALSE)</f>
        <v/>
      </c>
      <c r="H4" s="6" t="n">
        <v>2</v>
      </c>
      <c r="I4" s="6" t="inlineStr">
        <is>
          <t>Februari</t>
        </is>
      </c>
    </row>
    <row r="5">
      <c r="B5" s="7" t="inlineStr">
        <is>
          <t>1</t>
        </is>
      </c>
      <c r="C5" s="21" t="inlineStr">
        <is>
          <t>Tanggal Pelaporan</t>
        </is>
      </c>
      <c r="D5" s="48" t="n">
        <v>45762</v>
      </c>
      <c r="E5" s="2" t="n"/>
      <c r="H5" s="6" t="n">
        <v>3</v>
      </c>
      <c r="I5" s="6" t="inlineStr">
        <is>
          <t>Maret</t>
        </is>
      </c>
    </row>
    <row r="6">
      <c r="B6" s="7" t="inlineStr">
        <is>
          <t>N</t>
        </is>
      </c>
      <c r="C6" s="21" t="inlineStr">
        <is>
          <t>Kode Perusahaan / Pihak</t>
        </is>
      </c>
      <c r="D6" s="46" t="n">
        <v>2000018923</v>
      </c>
      <c r="E6" s="2" t="n"/>
      <c r="H6" s="6" t="n">
        <v>4</v>
      </c>
      <c r="I6" s="6" t="inlineStr">
        <is>
          <t>April</t>
        </is>
      </c>
    </row>
    <row r="7">
      <c r="B7" s="2" t="n"/>
      <c r="C7" s="21" t="inlineStr">
        <is>
          <t>Nama Perusahaan / Pihak</t>
        </is>
      </c>
      <c r="D7" s="46" t="inlineStr">
        <is>
          <t>PT Tumbuh Bersama Nano</t>
        </is>
      </c>
      <c r="E7" s="2" t="n"/>
      <c r="H7" s="6" t="n">
        <v>5</v>
      </c>
      <c r="I7" s="6" t="inlineStr">
        <is>
          <t>Mei</t>
        </is>
      </c>
    </row>
    <row r="8">
      <c r="B8" s="2" t="n"/>
      <c r="C8" s="21" t="inlineStr">
        <is>
          <t>Alamat Perusahaan / Pihak</t>
        </is>
      </c>
      <c r="D8" s="47" t="inlineStr">
        <is>
          <t>Mayapada Tower 1, Lantai 20, Suite 03A,</t>
        </is>
      </c>
      <c r="E8" s="2" t="n"/>
      <c r="H8" s="6" t="n">
        <v>6</v>
      </c>
      <c r="I8" s="6" t="inlineStr">
        <is>
          <t>Juni</t>
        </is>
      </c>
    </row>
    <row r="9">
      <c r="B9" s="2" t="n"/>
      <c r="C9" s="49" t="n"/>
      <c r="D9" s="47" t="inlineStr">
        <is>
          <t>Jl. Jendral Sudirman KAav 28 Kuningan Karet,</t>
        </is>
      </c>
      <c r="E9" s="2" t="n"/>
      <c r="H9" s="6" t="n">
        <v>7</v>
      </c>
      <c r="I9" s="6" t="inlineStr">
        <is>
          <t>Juli</t>
        </is>
      </c>
    </row>
    <row r="10">
      <c r="B10" s="2" t="n"/>
      <c r="C10" s="50" t="n"/>
      <c r="D10" s="47" t="inlineStr">
        <is>
          <t>Setiabudi, Jakarta Selatan, 12920</t>
        </is>
      </c>
      <c r="E10" s="2" t="n"/>
      <c r="H10" s="6" t="n">
        <v>8</v>
      </c>
      <c r="I10" s="6" t="inlineStr">
        <is>
          <t>Agustus</t>
        </is>
      </c>
    </row>
    <row r="11">
      <c r="B11" s="2" t="n"/>
      <c r="C11" s="21" t="inlineStr">
        <is>
          <t>Periode Pelaporan</t>
        </is>
      </c>
      <c r="D11" s="48" t="n">
        <v>45747</v>
      </c>
      <c r="E11" s="2" t="n"/>
      <c r="H11" s="6" t="n">
        <v>9</v>
      </c>
      <c r="I11" s="6" t="inlineStr">
        <is>
          <t>September</t>
        </is>
      </c>
    </row>
    <row r="12">
      <c r="B12" s="2" t="n"/>
      <c r="C12" s="21" t="inlineStr">
        <is>
          <t>Bulan Pelaporan</t>
        </is>
      </c>
      <c r="D12" s="21">
        <f>IF(ISERR(G4), "", G4)</f>
        <v/>
      </c>
      <c r="E12" s="2" t="n"/>
      <c r="H12" s="6" t="n">
        <v>10</v>
      </c>
      <c r="I12" s="6" t="inlineStr">
        <is>
          <t>Oktober</t>
        </is>
      </c>
    </row>
    <row r="13">
      <c r="B13" s="2" t="n"/>
      <c r="C13" s="21" t="inlineStr">
        <is>
          <t>Tahun Fiskal</t>
        </is>
      </c>
      <c r="D13" s="51">
        <f>IF(ISBLANK(D11), "", IFERROR(YEAR(D11), ""))</f>
        <v/>
      </c>
      <c r="E13" s="2" t="n"/>
      <c r="H13" s="6" t="n">
        <v>11</v>
      </c>
      <c r="I13" s="6" t="inlineStr">
        <is>
          <t>November</t>
        </is>
      </c>
    </row>
    <row r="14">
      <c r="B14" s="2" t="n"/>
      <c r="C14" s="21" t="inlineStr">
        <is>
          <t>Jenis Periode Pelaporan</t>
        </is>
      </c>
      <c r="D14" s="21" t="inlineStr">
        <is>
          <t>Laporan Bulanan</t>
        </is>
      </c>
      <c r="E14" s="2" t="n"/>
      <c r="H14" s="6" t="n">
        <v>12</v>
      </c>
      <c r="I14" s="6" t="inlineStr">
        <is>
          <t>Desember</t>
        </is>
      </c>
    </row>
    <row r="15">
      <c r="B15" s="2" t="n"/>
      <c r="C15" s="21" t="inlineStr">
        <is>
          <t>Nama Direksi / Penanggung Jawab</t>
        </is>
      </c>
      <c r="D15" s="46" t="inlineStr">
        <is>
          <t>Billy Surya Jaya</t>
        </is>
      </c>
      <c r="E15" s="2" t="n"/>
    </row>
    <row r="16">
      <c r="B16" s="2" t="n"/>
      <c r="C16" s="21" t="inlineStr">
        <is>
          <t>Jabatan Direksi / Penanggung Jawab</t>
        </is>
      </c>
      <c r="D16" s="46" t="inlineStr">
        <is>
          <t>Direktur Utama</t>
        </is>
      </c>
      <c r="E16" s="2" t="n"/>
    </row>
    <row r="17" ht="5" customHeight="1">
      <c r="B17" s="2" t="n"/>
      <c r="C17" s="2" t="n"/>
      <c r="D17" s="2" t="n"/>
      <c r="E17" s="2" t="n"/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BBAF"/>
  <mergeCells count="1">
    <mergeCell ref="C8:C10"/>
  </mergeCells>
  <dataValidations count="1">
    <dataValidation sqref="D5 D11" showDropDown="0" showInputMessage="0" showErrorMessage="1" allowBlank="0" errorTitle="Kesalahan Jenis Data" error="Data yang dimasukkan harus berupa tanggal!" type="date" operator="greaterThanOrEqual">
      <formula1>0</formula1>
      <formula2>2958465.99999999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49"/>
  <sheetViews>
    <sheetView showGridLines="0" workbookViewId="0">
      <selection activeCell="A1" sqref="A1"/>
    </sheetView>
  </sheetViews>
  <sheetFormatPr baseColWidth="8" defaultColWidth="9.08984375" defaultRowHeight="14.5"/>
  <cols>
    <col width="9.08984375" customWidth="1" style="1" min="1" max="1"/>
    <col width="1" customWidth="1" style="1" min="2" max="2"/>
    <col width="50" customWidth="1" style="1" min="3" max="3"/>
    <col width="25" customWidth="1" style="1" min="4" max="5"/>
    <col width="1" customWidth="1" style="1" min="6" max="6"/>
    <col width="9.08984375" customWidth="1" style="1" min="7" max="7"/>
    <col width="9.08984375" customWidth="1" style="1" min="8" max="16384"/>
  </cols>
  <sheetData>
    <row r="2" ht="5" customHeight="1">
      <c r="B2" s="2" t="n"/>
      <c r="C2" s="2" t="n"/>
      <c r="D2" s="2" t="n"/>
      <c r="E2" s="2" t="n"/>
      <c r="F2" s="2" t="n"/>
    </row>
    <row r="3" hidden="1">
      <c r="B3" s="2" t="n"/>
      <c r="C3" s="2" t="n"/>
      <c r="D3" s="2" t="n"/>
      <c r="E3" s="2" t="n"/>
      <c r="F3" s="2" t="n"/>
    </row>
    <row r="4" hidden="1">
      <c r="B4" s="2" t="n"/>
      <c r="C4" s="2" t="n"/>
      <c r="D4" s="2" t="n"/>
      <c r="E4" s="2" t="n"/>
      <c r="F4" s="2" t="n"/>
    </row>
    <row r="5" hidden="1">
      <c r="B5" s="2" t="n"/>
      <c r="C5" s="2" t="n"/>
      <c r="D5" s="2" t="n"/>
      <c r="E5" s="2" t="n"/>
      <c r="F5" s="2" t="n"/>
    </row>
    <row r="6" hidden="1">
      <c r="B6" s="2" t="n"/>
      <c r="C6" s="2" t="n"/>
      <c r="D6" s="2" t="n"/>
      <c r="E6" s="2" t="n"/>
      <c r="F6" s="2" t="n"/>
    </row>
    <row r="7" ht="15.5" customHeight="1">
      <c r="B7" s="2" t="n"/>
      <c r="C7" s="8" t="inlineStr">
        <is>
          <t>K e p a d a</t>
        </is>
      </c>
      <c r="D7" s="2" t="n"/>
      <c r="E7" s="2" t="n"/>
      <c r="F7" s="2" t="n"/>
    </row>
    <row r="8">
      <c r="B8" s="2" t="n"/>
      <c r="C8" s="2" t="n"/>
      <c r="D8" s="2" t="n"/>
      <c r="E8" s="2" t="n"/>
      <c r="F8" s="2" t="n"/>
    </row>
    <row r="9" ht="17" customHeight="1">
      <c r="B9" s="2" t="n"/>
      <c r="C9" s="9" t="inlineStr">
        <is>
          <t>Yth.Kepala Departemen Pengawasan  Aset Keuangan Digital dan Aset Kripto</t>
        </is>
      </c>
      <c r="D9" s="2" t="n"/>
      <c r="E9" s="2" t="n"/>
      <c r="F9" s="2" t="n"/>
    </row>
    <row r="10" ht="15.5" customHeight="1">
      <c r="B10" s="2" t="n"/>
      <c r="C10" s="8" t="inlineStr">
        <is>
          <t>Otoritas Jasa Keuangan</t>
        </is>
      </c>
      <c r="D10" s="2" t="n"/>
      <c r="E10" s="2" t="n"/>
      <c r="F10" s="2" t="n"/>
    </row>
    <row r="11" ht="15.5" customHeight="1">
      <c r="B11" s="2" t="n"/>
      <c r="C11" s="8" t="inlineStr">
        <is>
          <t>Keuangan, Aset Keuangan Digital dan Aset Kripto</t>
        </is>
      </c>
      <c r="D11" s="2" t="n"/>
      <c r="E11" s="2" t="n"/>
      <c r="F11" s="2" t="n"/>
    </row>
    <row r="12" hidden="1" ht="15.5" customHeight="1">
      <c r="B12" s="2" t="n"/>
      <c r="C12" s="8" t="inlineStr">
        <is>
          <t>Gedung Soemitro Djojohadikusumo</t>
        </is>
      </c>
      <c r="D12" s="2" t="n"/>
      <c r="E12" s="2" t="n"/>
      <c r="F12" s="2" t="n"/>
    </row>
    <row r="13" ht="15.5" customHeight="1">
      <c r="B13" s="2" t="n"/>
      <c r="C13" s="8" t="inlineStr">
        <is>
          <t>Jalan Lapangan Banteng Timur 2-4, Jakarta 10710, Indonesia</t>
        </is>
      </c>
      <c r="D13" s="2" t="n"/>
      <c r="E13" s="2" t="n"/>
      <c r="F13" s="2" t="n"/>
    </row>
    <row r="14">
      <c r="B14" s="2" t="n"/>
      <c r="C14" s="2" t="n"/>
      <c r="D14" s="2" t="n"/>
      <c r="E14" s="2" t="n"/>
      <c r="F14" s="2" t="n"/>
    </row>
    <row r="15">
      <c r="B15" s="2" t="n"/>
      <c r="C15" s="2" t="n"/>
      <c r="D15" s="2" t="n"/>
      <c r="E15" s="2" t="n"/>
      <c r="F15" s="2" t="n"/>
    </row>
    <row r="16">
      <c r="B16" s="2" t="n"/>
      <c r="C16" s="2" t="n"/>
      <c r="D16" s="2" t="n"/>
      <c r="E16" s="2" t="n"/>
      <c r="F16" s="2" t="n"/>
    </row>
    <row r="17">
      <c r="B17" s="2" t="n"/>
      <c r="C17" s="2" t="n"/>
      <c r="D17" s="2" t="n"/>
      <c r="E17" s="2" t="n"/>
      <c r="F17" s="2" t="n"/>
    </row>
    <row r="18">
      <c r="B18" s="2" t="n"/>
      <c r="C18" s="2" t="n"/>
      <c r="D18" s="2" t="n"/>
      <c r="E18" s="2" t="n"/>
      <c r="F18" s="2" t="n"/>
    </row>
    <row r="19">
      <c r="B19" s="2" t="n"/>
      <c r="C19" s="2" t="n"/>
      <c r="D19" s="2" t="n"/>
      <c r="E19" s="2" t="n"/>
      <c r="F19" s="2" t="n"/>
    </row>
    <row r="20" ht="26" customHeight="1">
      <c r="B20" s="2" t="n"/>
      <c r="C20" s="24" t="inlineStr">
        <is>
          <t>LAPORAN BULANAN</t>
        </is>
      </c>
      <c r="F20" s="2" t="n"/>
    </row>
    <row r="21" ht="21" customHeight="1">
      <c r="B21" s="2" t="n"/>
      <c r="C21" s="25" t="inlineStr">
        <is>
          <t>PEDAGANG ASET KEUANGAN</t>
        </is>
      </c>
      <c r="F21" s="2" t="n"/>
    </row>
    <row r="22" ht="18.5" customHeight="1">
      <c r="B22" s="2" t="n"/>
      <c r="C22" s="26">
        <f>""</f>
        <v/>
      </c>
      <c r="F22" s="2" t="n"/>
    </row>
    <row r="23">
      <c r="B23" s="2" t="n"/>
      <c r="C23" s="2" t="n"/>
      <c r="D23" s="2" t="n"/>
      <c r="E23" s="2" t="n"/>
      <c r="F23" s="2" t="n"/>
    </row>
    <row r="24">
      <c r="B24" s="2" t="n"/>
      <c r="C24" s="2" t="n"/>
      <c r="D24" s="2" t="n"/>
      <c r="E24" s="2" t="n"/>
      <c r="F24" s="2" t="n"/>
    </row>
    <row r="25">
      <c r="B25" s="2" t="n"/>
      <c r="C25" s="2" t="n"/>
      <c r="D25" s="2" t="n"/>
      <c r="E25" s="2" t="n"/>
      <c r="F25" s="2" t="n"/>
    </row>
    <row r="26">
      <c r="B26" s="2" t="n"/>
      <c r="C26" s="2" t="n"/>
      <c r="D26" s="2" t="n"/>
      <c r="E26" s="2" t="n"/>
      <c r="F26" s="2" t="n"/>
    </row>
    <row r="27">
      <c r="B27" s="2" t="n"/>
      <c r="C27" s="2" t="n"/>
      <c r="D27" s="2" t="n"/>
      <c r="E27" s="2" t="n"/>
      <c r="F27" s="2" t="n"/>
    </row>
    <row r="28">
      <c r="B28" s="2" t="n"/>
      <c r="C28" s="2" t="n"/>
      <c r="D28" s="2" t="n"/>
      <c r="E28" s="2" t="n"/>
      <c r="F28" s="2" t="n"/>
    </row>
    <row r="29">
      <c r="B29" s="2" t="n"/>
      <c r="C29" s="2" t="n"/>
      <c r="D29" s="2" t="n"/>
      <c r="E29" s="2" t="n"/>
      <c r="F29" s="2" t="n"/>
    </row>
    <row r="30" ht="15.5" customHeight="1">
      <c r="B30" s="2" t="n"/>
      <c r="C30" s="23">
        <f> UPPER('Data Umum'!D7)</f>
        <v/>
      </c>
      <c r="D30" s="52" t="n"/>
      <c r="E30" s="52" t="n"/>
      <c r="F30" s="2" t="n"/>
    </row>
    <row r="31" ht="15.5" customHeight="1">
      <c r="B31" s="2" t="n"/>
      <c r="C31" s="23">
        <f>IF('Data Umum'!D8=0, "", 'Data Umum'!D8)</f>
        <v/>
      </c>
      <c r="D31" s="52" t="n"/>
      <c r="E31" s="52" t="n"/>
      <c r="F31" s="2" t="n"/>
    </row>
    <row r="32" ht="15.5" customHeight="1">
      <c r="B32" s="2" t="n"/>
      <c r="C32" s="23">
        <f>IF('Data Umum'!D9=0, "", 'Data Umum'!D9)</f>
        <v/>
      </c>
      <c r="D32" s="52" t="n"/>
      <c r="E32" s="52" t="n"/>
      <c r="F32" s="2" t="n"/>
    </row>
    <row r="33" ht="15.5" customHeight="1">
      <c r="B33" s="2" t="n"/>
      <c r="C33" s="23">
        <f>IF('Data Umum'!D10=0, "", 'Data Umum'!D10)</f>
        <v/>
      </c>
      <c r="D33" s="52" t="n"/>
      <c r="E33" s="52" t="n"/>
      <c r="F33" s="2" t="n"/>
    </row>
    <row r="34">
      <c r="B34" s="2" t="n"/>
      <c r="C34" s="2" t="n"/>
      <c r="D34" s="2" t="n"/>
      <c r="E34" s="2" t="n"/>
      <c r="F34" s="2" t="n"/>
    </row>
    <row r="35">
      <c r="B35" s="2" t="n"/>
      <c r="C35" s="2" t="n"/>
      <c r="D35" s="2" t="n"/>
      <c r="E35" s="2" t="n"/>
      <c r="F35" s="2" t="n"/>
    </row>
    <row r="36">
      <c r="B36" s="2" t="n"/>
      <c r="C36" s="2" t="n"/>
      <c r="D36" s="2" t="n"/>
      <c r="E36" s="2" t="n"/>
      <c r="F36" s="2" t="n"/>
    </row>
    <row r="37">
      <c r="B37" s="2" t="n"/>
      <c r="C37" s="2" t="n"/>
      <c r="D37" s="2" t="n"/>
      <c r="E37" s="2" t="n"/>
      <c r="F37" s="2" t="n"/>
    </row>
    <row r="38">
      <c r="B38" s="2" t="n"/>
      <c r="C38" s="2" t="n"/>
      <c r="D38" s="2" t="n"/>
      <c r="E38" s="2" t="n"/>
      <c r="F38" s="2" t="n"/>
    </row>
    <row r="39">
      <c r="B39" s="2" t="n"/>
      <c r="C39" s="2" t="n"/>
      <c r="D39" s="2" t="n"/>
      <c r="E39" s="2" t="n"/>
      <c r="F39" s="2" t="n"/>
    </row>
    <row r="40">
      <c r="B40" s="2" t="n"/>
      <c r="C40" s="2" t="n"/>
      <c r="D40" s="2" t="n"/>
      <c r="E40" s="2" t="n"/>
      <c r="F40" s="2" t="n"/>
    </row>
    <row r="41">
      <c r="B41" s="2" t="n"/>
      <c r="C41" s="2" t="n"/>
      <c r="D41" s="2" t="n"/>
      <c r="E41" s="2" t="n"/>
      <c r="F41" s="2" t="n"/>
    </row>
    <row r="42">
      <c r="B42" s="2" t="n"/>
      <c r="C42" s="2" t="n"/>
      <c r="D42" s="2" t="n"/>
      <c r="E42" s="2" t="n"/>
      <c r="F42" s="2" t="n"/>
    </row>
    <row r="43">
      <c r="B43" s="2" t="n"/>
      <c r="C43" s="2" t="n"/>
      <c r="D43" s="2" t="n"/>
      <c r="E43" s="2" t="n"/>
      <c r="F43" s="2" t="n"/>
    </row>
    <row r="44">
      <c r="B44" s="2" t="n"/>
      <c r="C44" s="2" t="n"/>
      <c r="D44" s="2" t="n"/>
      <c r="E44" s="2" t="n"/>
      <c r="F44" s="2" t="n"/>
    </row>
    <row r="45">
      <c r="B45" s="2" t="n"/>
      <c r="C45" s="2" t="n"/>
      <c r="D45" s="2" t="n"/>
      <c r="E45" s="2" t="n"/>
      <c r="F45" s="2" t="n"/>
    </row>
    <row r="46">
      <c r="B46" s="2" t="n"/>
      <c r="C46" s="2" t="n"/>
      <c r="D46" s="2" t="n"/>
      <c r="E46" s="2" t="n"/>
      <c r="F46" s="2" t="n"/>
    </row>
    <row r="47">
      <c r="B47" s="2" t="n"/>
      <c r="C47" s="2" t="n"/>
      <c r="D47" s="2" t="n"/>
      <c r="E47" s="2" t="n"/>
      <c r="F47" s="2" t="n"/>
    </row>
    <row r="48">
      <c r="B48" s="2" t="n"/>
      <c r="C48" s="2" t="n"/>
      <c r="D48" s="2" t="n"/>
      <c r="E48" s="2" t="n"/>
      <c r="F48" s="2" t="n"/>
    </row>
    <row r="49" ht="5" customHeight="1">
      <c r="B49" s="2" t="n"/>
      <c r="C49" s="2" t="n"/>
      <c r="D49" s="2" t="n"/>
      <c r="E49" s="2" t="n"/>
      <c r="F49" s="2" t="n"/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BBAF"/>
  <mergeCells count="7">
    <mergeCell ref="C33:E33"/>
    <mergeCell ref="C31:E31"/>
    <mergeCell ref="C22:E22"/>
    <mergeCell ref="C30:E30"/>
    <mergeCell ref="C21:E21"/>
    <mergeCell ref="C20:E20"/>
    <mergeCell ref="C32:E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71"/>
  <sheetViews>
    <sheetView showGridLines="0" topLeftCell="F1" workbookViewId="0">
      <selection activeCell="F26" sqref="F26"/>
    </sheetView>
  </sheetViews>
  <sheetFormatPr baseColWidth="8" defaultColWidth="9.08984375" defaultRowHeight="14.5"/>
  <cols>
    <col width="9.08984375" customWidth="1" style="1" min="1" max="1"/>
    <col width="1" customWidth="1" style="1" min="2" max="2"/>
    <col width="10" customWidth="1" style="1" min="3" max="3"/>
    <col width="20" customWidth="1" style="1" min="4" max="4"/>
    <col width="50" customWidth="1" style="1" min="5" max="6"/>
    <col width="20" customWidth="1" style="1" min="7" max="7"/>
    <col width="1" customWidth="1" style="1" min="8" max="8"/>
    <col width="9.08984375" customWidth="1" style="1" min="9" max="9"/>
    <col width="9.08984375" customWidth="1" style="1" min="10" max="16384"/>
  </cols>
  <sheetData>
    <row r="2" ht="5" customHeight="1">
      <c r="B2" s="2" t="n"/>
      <c r="C2" s="2" t="n"/>
      <c r="D2" s="2" t="n"/>
      <c r="E2" s="2" t="n"/>
      <c r="F2" s="2" t="n"/>
      <c r="G2" s="2" t="n"/>
      <c r="H2" s="2" t="n"/>
    </row>
    <row r="3" hidden="1">
      <c r="B3" s="2" t="n"/>
      <c r="C3" s="2" t="n"/>
      <c r="D3" s="2" t="n"/>
      <c r="E3" s="2" t="n"/>
      <c r="F3" s="2" t="n"/>
      <c r="G3" s="2" t="n"/>
      <c r="H3" s="2" t="n"/>
    </row>
    <row r="4" hidden="1">
      <c r="B4" s="2" t="n"/>
      <c r="C4" s="2" t="n"/>
      <c r="D4" s="2" t="n"/>
      <c r="E4" s="2" t="n"/>
      <c r="F4" s="2" t="n"/>
      <c r="G4" s="2" t="n"/>
      <c r="H4" s="2" t="n"/>
    </row>
    <row r="5" hidden="1">
      <c r="B5" s="2" t="n"/>
      <c r="C5" s="2" t="n"/>
      <c r="D5" s="2" t="n"/>
      <c r="E5" s="2" t="n"/>
      <c r="F5" s="2" t="n"/>
      <c r="G5" s="2" t="n"/>
      <c r="H5" s="2" t="n"/>
    </row>
    <row r="6" hidden="1">
      <c r="B6" s="2" t="n"/>
      <c r="C6" s="2" t="n"/>
      <c r="D6" s="2" t="n"/>
      <c r="E6" s="2" t="n"/>
      <c r="F6" s="2" t="n"/>
      <c r="G6" s="2" t="n"/>
      <c r="H6" s="2" t="n"/>
    </row>
    <row r="7" ht="15.5" customHeight="1">
      <c r="B7" s="2" t="n"/>
      <c r="C7" s="8" t="inlineStr">
        <is>
          <t>Status</t>
        </is>
      </c>
      <c r="D7" s="2" t="n"/>
      <c r="E7" s="8" t="inlineStr">
        <is>
          <t>Status Validitas Laporan Secara Keseluruhan</t>
        </is>
      </c>
      <c r="F7" s="2" t="n"/>
      <c r="G7" s="8">
        <f>AND(G10, G11, G12, G13, G14, G15, G16, G17, G18, G19, G20, G21, G22, G23, G24, G25, G26, G27, G28, G29, G30, G31, G32, G33, G34, G35, G36, G37, G38, G39, G40, G41, G42, G43, G44, G45, G46, G47, G48, G49, G50, G51, G52, G53, G54, G55, G56, G57, G58, G59, G60, G61, G62, G63, G64, G65, G66, G67, G68, G69)</f>
        <v/>
      </c>
      <c r="H7" s="2" t="n"/>
    </row>
    <row r="8">
      <c r="B8" s="2" t="n"/>
      <c r="C8" s="2" t="n"/>
      <c r="D8" s="2" t="n"/>
      <c r="E8" s="2" t="n"/>
      <c r="F8" s="2" t="n"/>
      <c r="G8" s="2" t="n"/>
      <c r="H8" s="2" t="n"/>
    </row>
    <row r="9">
      <c r="B9" s="2" t="n"/>
      <c r="C9" s="10" t="inlineStr">
        <is>
          <t>No</t>
        </is>
      </c>
      <c r="D9" s="10" t="inlineStr">
        <is>
          <t>Sheet</t>
        </is>
      </c>
      <c r="E9" s="10" t="inlineStr">
        <is>
          <t>Keterangan</t>
        </is>
      </c>
      <c r="F9" s="10" t="inlineStr">
        <is>
          <t>Formula</t>
        </is>
      </c>
      <c r="G9" s="10" t="inlineStr">
        <is>
          <t>Status</t>
        </is>
      </c>
      <c r="H9" s="2" t="n"/>
    </row>
    <row r="10" ht="15.5" customHeight="1">
      <c r="B10" s="2" t="n"/>
      <c r="C10" s="10" t="n">
        <v>1</v>
      </c>
      <c r="D10" s="10" t="inlineStr">
        <is>
          <t>LRTTHP</t>
        </is>
      </c>
      <c r="E10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10" s="10" t="inlineStr">
        <is>
          <t>=IF(OR(AND(LRTTHP!$I$16="individu ",LRTTHP!$E$16="NIK (Domestik)"),AND(LRTTHP!$I$16="individu ",LRTTHP!$E$16="National ID (Asing)"),AND(LRTTHP!$I$16="Badan Usaha",LRTTHP!$E$16="NPWP (Domestik)"),AND(LRTTHP!$I$16="Badan Usaha",LRTTHP!$E$16="Identification No./ Tax Id/Sejenis (Asing)")),TRUE,FALSE)</t>
        </is>
      </c>
      <c r="G10" s="8">
        <f>IF(OR(AND(LRTTHP!$I$16="individu ",LRTTHP!$E$16="NIK (Domestik)"),AND(LRTTHP!$I$16="individu ",LRTTHP!$E$16="National ID (Asing)"),AND(LRTTHP!$I$16="Badan Usaha",LRTTHP!$E$16="NPWP (Domestik)"),AND(LRTTHP!$I$16="Badan Usaha",LRTTHP!$E$16="Identification No./ Tax Id/Sejenis (Asing)")),TRUE,FALSE)</f>
        <v/>
      </c>
      <c r="H10" s="2" t="n"/>
    </row>
    <row r="11" ht="15.5" customHeight="1">
      <c r="B11" s="2" t="n"/>
      <c r="C11" s="10" t="n">
        <v>2</v>
      </c>
      <c r="D11" s="10" t="inlineStr">
        <is>
          <t>LRTTHP</t>
        </is>
      </c>
      <c r="E11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11" s="10" t="inlineStr">
        <is>
          <t>=IF(OR(AND(LRTTHP!$I$17="individu ",LRTTHP!$E$17="NIK (Domestik)"),AND(LRTTHP!$I$17="individu ",LRTTHP!$E$17="National ID (Asing)"),AND(LRTTHP!$I$17="Badan Usaha",LRTTHP!$E$17="NPWP (Domestik)"),AND(LRTTHP!$I$17="Badan Usaha",LRTTHP!$E$17="Identification No./ Tax Id/Sejenis (Asing)")),TRUE,FALSE)</t>
        </is>
      </c>
      <c r="G11" s="8">
        <f>IF(OR(AND(LRTTHP!$I$17="individu ",LRTTHP!$E$17="NIK (Domestik)"),AND(LRTTHP!$I$17="individu ",LRTTHP!$E$17="National ID (Asing)"),AND(LRTTHP!$I$17="Badan Usaha",LRTTHP!$E$17="NPWP (Domestik)"),AND(LRTTHP!$I$17="Badan Usaha",LRTTHP!$E$17="Identification No./ Tax Id/Sejenis (Asing)")),TRUE,FALSE)</f>
        <v/>
      </c>
      <c r="H11" s="2" t="n"/>
    </row>
    <row r="12" ht="15.5" customHeight="1">
      <c r="B12" s="2" t="n"/>
      <c r="C12" s="10" t="n">
        <v>3</v>
      </c>
      <c r="D12" s="10" t="inlineStr">
        <is>
          <t>LRTTHP</t>
        </is>
      </c>
      <c r="E12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12" s="10" t="inlineStr">
        <is>
          <t>=IF(OR(AND(LRTTHP!$I$18="individu ",LRTTHP!$E$18="NIK (Domestik)"),AND(LRTTHP!$I$18="individu ",LRTTHP!$E$18="National ID (Asing)"),AND(LRTTHP!$I$18="Badan Usaha",LRTTHP!$E$18="NPWP (Domestik)"),AND(LRTTHP!$I$18="Badan Usaha",LRTTHP!$E$18="Identification No./ Tax Id/Sejenis (Asing)")),TRUE,FALSE)</t>
        </is>
      </c>
      <c r="G12" s="8">
        <f>IF(OR(AND(LRTTHP!$I$18="individu ",LRTTHP!$E$18="NIK (Domestik)"),AND(LRTTHP!$I$18="individu ",LRTTHP!$E$18="National ID (Asing)"),AND(LRTTHP!$I$18="Badan Usaha",LRTTHP!$E$18="NPWP (Domestik)"),AND(LRTTHP!$I$18="Badan Usaha",LRTTHP!$E$18="Identification No./ Tax Id/Sejenis (Asing)")),TRUE,FALSE)</f>
        <v/>
      </c>
      <c r="H12" s="2" t="n"/>
    </row>
    <row r="13" ht="15.5" customHeight="1">
      <c r="B13" s="2" t="n"/>
      <c r="C13" s="10" t="n">
        <v>4</v>
      </c>
      <c r="D13" s="10" t="inlineStr">
        <is>
          <t>LRTTHP</t>
        </is>
      </c>
      <c r="E13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13" s="10" t="inlineStr">
        <is>
          <t>=IF(OR(AND(LRTTHP!$I$19="individu ",LRTTHP!$E$19="NIK (Domestik)"),AND(LRTTHP!$I$19="individu ",LRTTHP!$E$19="National ID (Asing)"),AND(LRTTHP!$I$19="Badan Usaha",LRTTHP!$E$19="NPWP (Domestik)"),AND(LRTTHP!$I$19="Badan Usaha",LRTTHP!$E$19="Identification No./ Tax Id/Sejenis (Asing)")),TRUE,FALSE)</t>
        </is>
      </c>
      <c r="G13" s="8">
        <f>IF(OR(AND(LRTTHP!$I$19="individu ",LRTTHP!$E$19="NIK (Domestik)"),AND(LRTTHP!$I$19="individu ",LRTTHP!$E$19="National ID (Asing)"),AND(LRTTHP!$I$19="Badan Usaha",LRTTHP!$E$19="NPWP (Domestik)"),AND(LRTTHP!$I$19="Badan Usaha",LRTTHP!$E$19="Identification No./ Tax Id/Sejenis (Asing)")),TRUE,FALSE)</f>
        <v/>
      </c>
      <c r="H13" s="2" t="n"/>
    </row>
    <row r="14" ht="15.5" customHeight="1">
      <c r="B14" s="2" t="n"/>
      <c r="C14" s="10" t="n">
        <v>5</v>
      </c>
      <c r="D14" s="10" t="inlineStr">
        <is>
          <t>LRTTHP</t>
        </is>
      </c>
      <c r="E14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14" s="10" t="inlineStr">
        <is>
          <t>=IF(OR(AND(LRTTHP!$I$20="individu ",LRTTHP!$E$20="NIK (Domestik)"),AND(LRTTHP!$I$20="individu ",LRTTHP!$E$20="National ID (Asing)"),AND(LRTTHP!$I$20="Badan Usaha",LRTTHP!$E$20="NPWP (Domestik)"),AND(LRTTHP!$I$20="Badan Usaha",LRTTHP!$E$20="Identification No./ Tax Id/Sejenis (Asing)")),TRUE,FALSE)</t>
        </is>
      </c>
      <c r="G14" s="8">
        <f>IF(OR(AND(LRTTHP!$I$20="individu ",LRTTHP!$E$20="NIK (Domestik)"),AND(LRTTHP!$I$20="individu ",LRTTHP!$E$20="National ID (Asing)"),AND(LRTTHP!$I$20="Badan Usaha",LRTTHP!$E$20="NPWP (Domestik)"),AND(LRTTHP!$I$20="Badan Usaha",LRTTHP!$E$20="Identification No./ Tax Id/Sejenis (Asing)")),TRUE,FALSE)</f>
        <v/>
      </c>
      <c r="H14" s="2" t="n"/>
    </row>
    <row r="15" ht="15.5" customHeight="1">
      <c r="B15" s="2" t="n"/>
      <c r="C15" s="10" t="n">
        <v>6</v>
      </c>
      <c r="D15" s="10" t="inlineStr">
        <is>
          <t>LRTTHP</t>
        </is>
      </c>
      <c r="E15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15" s="10" t="inlineStr">
        <is>
          <t>=IF(OR(AND(LRTTHP!$I$21="individu ",LRTTHP!$E$21="NIK (Domestik)"),AND(LRTTHP!$I$21="individu ",LRTTHP!$E$21="National ID (Asing)"),AND(LRTTHP!$I$21="Badan Usaha",LRTTHP!$E$21="NPWP (Domestik)"),AND(LRTTHP!$I$21="Badan Usaha",LRTTHP!$E$21="Identification No./ Tax Id/Sejenis (Asing)")),TRUE,FALSE)</t>
        </is>
      </c>
      <c r="G15" s="8">
        <f>IF(OR(AND(LRTTHP!$I$21="individu ",LRTTHP!$E$21="NIK (Domestik)"),AND(LRTTHP!$I$21="individu ",LRTTHP!$E$21="National ID (Asing)"),AND(LRTTHP!$I$21="Badan Usaha",LRTTHP!$E$21="NPWP (Domestik)"),AND(LRTTHP!$I$21="Badan Usaha",LRTTHP!$E$21="Identification No./ Tax Id/Sejenis (Asing)")),TRUE,FALSE)</f>
        <v/>
      </c>
      <c r="H15" s="2" t="n"/>
    </row>
    <row r="16" ht="15.5" customHeight="1">
      <c r="B16" s="2" t="n"/>
      <c r="C16" s="10" t="n">
        <v>7</v>
      </c>
      <c r="D16" s="10" t="inlineStr">
        <is>
          <t>LRTTHP</t>
        </is>
      </c>
      <c r="E16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16" s="10" t="inlineStr">
        <is>
          <t>=IF(OR(AND(LRTTHP!$I$22="individu ",LRTTHP!$E$22="NIK (Domestik)"),AND(LRTTHP!$I$22="individu ",LRTTHP!$E$22="National ID (Asing)"),AND(LRTTHP!$I$22="Badan Usaha",LRTTHP!$E$22="NPWP (Domestik)"),AND(LRTTHP!$I$22="Badan Usaha",LRTTHP!$E$22="Identification No./ Tax Id/Sejenis (Asing)")),TRUE,FALSE)</t>
        </is>
      </c>
      <c r="G16" s="8">
        <f>IF(OR(AND(LRTTHP!$I$22="individu ",LRTTHP!$E$22="NIK (Domestik)"),AND(LRTTHP!$I$22="individu ",LRTTHP!$E$22="National ID (Asing)"),AND(LRTTHP!$I$22="Badan Usaha",LRTTHP!$E$22="NPWP (Domestik)"),AND(LRTTHP!$I$22="Badan Usaha",LRTTHP!$E$22="Identification No./ Tax Id/Sejenis (Asing)")),TRUE,FALSE)</f>
        <v/>
      </c>
      <c r="H16" s="2" t="n"/>
    </row>
    <row r="17" ht="15.5" customHeight="1">
      <c r="B17" s="2" t="n"/>
      <c r="C17" s="10" t="n">
        <v>8</v>
      </c>
      <c r="D17" s="10" t="inlineStr">
        <is>
          <t>LRTTHP</t>
        </is>
      </c>
      <c r="E17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17" s="10" t="inlineStr">
        <is>
          <t>=IF(OR(AND(LRTTHP!$I$23="individu ",LRTTHP!$E$23="NIK (Domestik)"),AND(LRTTHP!$I$23="individu ",LRTTHP!$E$23="National ID (Asing)"),AND(LRTTHP!$I$23="Badan Usaha",LRTTHP!$E$23="NPWP (Domestik)"),AND(LRTTHP!$I$23="Badan Usaha",LRTTHP!$E$23="Identification No./ Tax Id/Sejenis (Asing)")),TRUE,FALSE)</t>
        </is>
      </c>
      <c r="G17" s="8">
        <f>IF(OR(AND(LRTTHP!$I$23="individu ",LRTTHP!$E$23="NIK (Domestik)"),AND(LRTTHP!$I$23="individu ",LRTTHP!$E$23="National ID (Asing)"),AND(LRTTHP!$I$23="Badan Usaha",LRTTHP!$E$23="NPWP (Domestik)"),AND(LRTTHP!$I$23="Badan Usaha",LRTTHP!$E$23="Identification No./ Tax Id/Sejenis (Asing)")),TRUE,FALSE)</f>
        <v/>
      </c>
      <c r="H17" s="2" t="n"/>
    </row>
    <row r="18" ht="15.5" customHeight="1">
      <c r="B18" s="2" t="n"/>
      <c r="C18" s="10" t="n">
        <v>9</v>
      </c>
      <c r="D18" s="10" t="inlineStr">
        <is>
          <t>LRTTHP</t>
        </is>
      </c>
      <c r="E18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18" s="10" t="inlineStr">
        <is>
          <t>=IF(OR(AND(LRTTHP!$I$24="individu ",LRTTHP!$E$24="NIK (Domestik)"),AND(LRTTHP!$I$24="individu ",LRTTHP!$E$24="National ID (Asing)"),AND(LRTTHP!$I$24="Badan Usaha",LRTTHP!$E$24="NPWP (Domestik)"),AND(LRTTHP!$I$24="Badan Usaha",LRTTHP!$E$24="Identification No./ Tax Id/Sejenis (Asing)")),TRUE,FALSE)</t>
        </is>
      </c>
      <c r="G18" s="8">
        <f>IF(OR(AND(LRTTHP!$I$24="individu ",LRTTHP!$E$24="NIK (Domestik)"),AND(LRTTHP!$I$24="individu ",LRTTHP!$E$24="National ID (Asing)"),AND(LRTTHP!$I$24="Badan Usaha",LRTTHP!$E$24="NPWP (Domestik)"),AND(LRTTHP!$I$24="Badan Usaha",LRTTHP!$E$24="Identification No./ Tax Id/Sejenis (Asing)")),TRUE,FALSE)</f>
        <v/>
      </c>
      <c r="H18" s="2" t="n"/>
    </row>
    <row r="19" ht="15.5" customHeight="1">
      <c r="B19" s="2" t="n"/>
      <c r="C19" s="10" t="n">
        <v>10</v>
      </c>
      <c r="D19" s="10" t="inlineStr">
        <is>
          <t>LRTTHP</t>
        </is>
      </c>
      <c r="E19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19" s="10" t="inlineStr">
        <is>
          <t>=IF(OR(AND(LRTTHP!$I$25="individu ",LRTTHP!$E$25="NIK (Domestik)"),AND(LRTTHP!$I$25="individu ",LRTTHP!$E$25="National ID (Asing)"),AND(LRTTHP!$I$25="Badan Usaha",LRTTHP!$E$25="NPWP (Domestik)"),AND(LRTTHP!$I$25="Badan Usaha",LRTTHP!$E$25="Identification No./ Tax Id/Sejenis (Asing)")),TRUE,FALSE)</t>
        </is>
      </c>
      <c r="G19" s="8">
        <f>IF(OR(AND(LRTTHP!$I$25="individu ",LRTTHP!$E$25="NIK (Domestik)"),AND(LRTTHP!$I$25="individu ",LRTTHP!$E$25="National ID (Asing)"),AND(LRTTHP!$I$25="Badan Usaha",LRTTHP!$E$25="NPWP (Domestik)"),AND(LRTTHP!$I$25="Badan Usaha",LRTTHP!$E$25="Identification No./ Tax Id/Sejenis (Asing)")),TRUE,FALSE)</f>
        <v/>
      </c>
      <c r="H19" s="2" t="n"/>
    </row>
    <row r="20" ht="15.5" customHeight="1">
      <c r="B20" s="2" t="n"/>
      <c r="C20" s="10" t="n">
        <v>11</v>
      </c>
      <c r="D20" s="10" t="inlineStr">
        <is>
          <t>LRTTHP</t>
        </is>
      </c>
      <c r="E20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20" s="10" t="inlineStr">
        <is>
          <t>=IF(OR(AND(LRTTHP!$I$26="individu ",LRTTHP!$E$26="NIK (Domestik)"),AND(LRTTHP!$I$26="individu ",LRTTHP!$E$26="National ID (Asing)"),AND(LRTTHP!$I$26="Badan Usaha",LRTTHP!$E$26="NPWP (Domestik)"),AND(LRTTHP!$I$26="Badan Usaha",LRTTHP!$E$26="Identification No./ Tax Id/Sejenis (Asing)")),TRUE,FALSE)</t>
        </is>
      </c>
      <c r="G20" s="8">
        <f>IF(OR(AND(LRTTHP!$I$26="individu ",LRTTHP!$E$26="NIK (Domestik)"),AND(LRTTHP!$I$26="individu ",LRTTHP!$E$26="National ID (Asing)"),AND(LRTTHP!$I$26="Badan Usaha",LRTTHP!$E$26="NPWP (Domestik)"),AND(LRTTHP!$I$26="Badan Usaha",LRTTHP!$E$26="Identification No./ Tax Id/Sejenis (Asing)")),TRUE,FALSE)</f>
        <v/>
      </c>
      <c r="H20" s="2" t="n"/>
    </row>
    <row r="21" ht="15.5" customHeight="1">
      <c r="B21" s="2" t="n"/>
      <c r="C21" s="10" t="n">
        <v>12</v>
      </c>
      <c r="D21" s="10" t="inlineStr">
        <is>
          <t>LRTTHP</t>
        </is>
      </c>
      <c r="E21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21" s="10" t="inlineStr">
        <is>
          <t>=IF(OR(AND(LRTTHP!$I$27="individu ",LRTTHP!$E$27="NIK (Domestik)"),AND(LRTTHP!$I$27="individu ",LRTTHP!$E$27="National ID (Asing)"),AND(LRTTHP!$I$27="Badan Usaha",LRTTHP!$E$27="NPWP (Domestik)"),AND(LRTTHP!$I$27="Badan Usaha",LRTTHP!$E$27="Identification No./ Tax Id/Sejenis (Asing)")),TRUE,FALSE)</t>
        </is>
      </c>
      <c r="G21" s="8">
        <f>IF(OR(AND(LRTTHP!$I$27="individu ",LRTTHP!$E$27="NIK (Domestik)"),AND(LRTTHP!$I$27="individu ",LRTTHP!$E$27="National ID (Asing)"),AND(LRTTHP!$I$27="Badan Usaha",LRTTHP!$E$27="NPWP (Domestik)"),AND(LRTTHP!$I$27="Badan Usaha",LRTTHP!$E$27="Identification No./ Tax Id/Sejenis (Asing)")),TRUE,FALSE)</f>
        <v/>
      </c>
      <c r="H21" s="2" t="n"/>
    </row>
    <row r="22" ht="15.5" customHeight="1">
      <c r="B22" s="2" t="n"/>
      <c r="C22" s="10" t="n">
        <v>13</v>
      </c>
      <c r="D22" s="10" t="inlineStr">
        <is>
          <t>LRTTHP</t>
        </is>
      </c>
      <c r="E22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22" s="10" t="inlineStr">
        <is>
          <t>=IF(OR(AND(LRTTHP!$I$28="individu ",LRTTHP!$E$28="NIK (Domestik)"),AND(LRTTHP!$I$28="individu ",LRTTHP!$E$28="National ID (Asing)"),AND(LRTTHP!$I$28="Badan Usaha",LRTTHP!$E$28="NPWP (Domestik)"),AND(LRTTHP!$I$28="Badan Usaha",LRTTHP!$E$28="Identification No./ Tax Id/Sejenis (Asing)")),TRUE,FALSE)</t>
        </is>
      </c>
      <c r="G22" s="8">
        <f>IF(OR(AND(LRTTHP!$I$28="individu ",LRTTHP!$E$28="NIK (Domestik)"),AND(LRTTHP!$I$28="individu ",LRTTHP!$E$28="National ID (Asing)"),AND(LRTTHP!$I$28="Badan Usaha",LRTTHP!$E$28="NPWP (Domestik)"),AND(LRTTHP!$I$28="Badan Usaha",LRTTHP!$E$28="Identification No./ Tax Id/Sejenis (Asing)")),TRUE,FALSE)</f>
        <v/>
      </c>
      <c r="H22" s="2" t="n"/>
    </row>
    <row r="23" ht="15.5" customHeight="1">
      <c r="B23" s="2" t="n"/>
      <c r="C23" s="10" t="n">
        <v>14</v>
      </c>
      <c r="D23" s="10" t="inlineStr">
        <is>
          <t>LRTTHP</t>
        </is>
      </c>
      <c r="E23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23" s="10" t="inlineStr">
        <is>
          <t>=IF(OR(AND(LRTTHP!$I$29="individu ",LRTTHP!$E$29="NIK (Domestik)"),AND(LRTTHP!$I$29="individu ",LRTTHP!$E$29="National ID (Asing)"),AND(LRTTHP!$I$29="Badan Usaha",LRTTHP!$E$29="NPWP (Domestik)"),AND(LRTTHP!$I$29="Badan Usaha",LRTTHP!$E$29="Identification No./ Tax Id/Sejenis (Asing)")),TRUE,FALSE)</t>
        </is>
      </c>
      <c r="G23" s="8">
        <f>IF(OR(AND(LRTTHP!$I$29="individu ",LRTTHP!$E$29="NIK (Domestik)"),AND(LRTTHP!$I$29="individu ",LRTTHP!$E$29="National ID (Asing)"),AND(LRTTHP!$I$29="Badan Usaha",LRTTHP!$E$29="NPWP (Domestik)"),AND(LRTTHP!$I$29="Badan Usaha",LRTTHP!$E$29="Identification No./ Tax Id/Sejenis (Asing)")),TRUE,FALSE)</f>
        <v/>
      </c>
      <c r="H23" s="2" t="n"/>
    </row>
    <row r="24" ht="15.5" customHeight="1">
      <c r="B24" s="2" t="n"/>
      <c r="C24" s="10" t="n">
        <v>15</v>
      </c>
      <c r="D24" s="10" t="inlineStr">
        <is>
          <t>LRTTHP</t>
        </is>
      </c>
      <c r="E24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24" s="10" t="inlineStr">
        <is>
          <t>=IF(OR(AND(LRTTHP!$I$30="individu ",LRTTHP!$E$30="NIK (Domestik)"),AND(LRTTHP!$I$30="individu ",LRTTHP!$E$30="National ID (Asing)"),AND(LRTTHP!$I$30="Badan Usaha",LRTTHP!$E$30="NPWP (Domestik)"),AND(LRTTHP!$I$30="Badan Usaha",LRTTHP!$E$30="Identification No./ Tax Id/Sejenis (Asing)")),TRUE,FALSE)</t>
        </is>
      </c>
      <c r="G24" s="8">
        <f>IF(OR(AND(LRTTHP!$I$30="individu ",LRTTHP!$E$30="NIK (Domestik)"),AND(LRTTHP!$I$30="individu ",LRTTHP!$E$30="National ID (Asing)"),AND(LRTTHP!$I$30="Badan Usaha",LRTTHP!$E$30="NPWP (Domestik)"),AND(LRTTHP!$I$30="Badan Usaha",LRTTHP!$E$30="Identification No./ Tax Id/Sejenis (Asing)")),TRUE,FALSE)</f>
        <v/>
      </c>
      <c r="H24" s="2" t="n"/>
    </row>
    <row r="25" ht="15.5" customHeight="1">
      <c r="B25" s="2" t="n"/>
      <c r="C25" s="10" t="n">
        <v>16</v>
      </c>
      <c r="D25" s="10" t="inlineStr">
        <is>
          <t>LRTTHP</t>
        </is>
      </c>
      <c r="E25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25" s="10" t="inlineStr">
        <is>
          <t>=IF(OR(AND(LRTTHP!$I$31="individu ",LRTTHP!$E$31="NIK (Domestik)"),AND(LRTTHP!$I$31="individu ",LRTTHP!$E$31="National ID (Asing)"),AND(LRTTHP!$I$31="Badan Usaha",LRTTHP!$E$31="NPWP (Domestik)"),AND(LRTTHP!$I$31="Badan Usaha",LRTTHP!$E$31="Identification No./ Tax Id/Sejenis (Asing)")),TRUE,FALSE)</t>
        </is>
      </c>
      <c r="G25" s="8">
        <f>IF(OR(AND(LRTTHP!$I$31="individu ",LRTTHP!$E$31="NIK (Domestik)"),AND(LRTTHP!$I$31="individu ",LRTTHP!$E$31="National ID (Asing)"),AND(LRTTHP!$I$31="Badan Usaha",LRTTHP!$E$31="NPWP (Domestik)"),AND(LRTTHP!$I$31="Badan Usaha",LRTTHP!$E$31="Identification No./ Tax Id/Sejenis (Asing)")),TRUE,FALSE)</f>
        <v/>
      </c>
      <c r="H25" s="2" t="n"/>
    </row>
    <row r="26" ht="15.5" customHeight="1">
      <c r="B26" s="2" t="n"/>
      <c r="C26" s="10" t="n">
        <v>17</v>
      </c>
      <c r="D26" s="10" t="inlineStr">
        <is>
          <t>LRTTHP</t>
        </is>
      </c>
      <c r="E26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26" s="10" t="inlineStr">
        <is>
          <t>=IF(OR(AND(LRTTHP!$I$32="individu ",LRTTHP!$E$32="NIK (Domestik)"),AND(LRTTHP!$I$32="individu ",LRTTHP!$E$32="National ID (Asing)"),AND(LRTTHP!$I$32="Badan Usaha",LRTTHP!$E$32="NPWP (Domestik)"),AND(LRTTHP!$I$32="Badan Usaha",LRTTHP!$E$32="Identification No./ Tax Id/Sejenis (Asing)")),TRUE,FALSE)</t>
        </is>
      </c>
      <c r="G26" s="8">
        <f>IF(OR(AND(LRTTHP!$I$32="individu ",LRTTHP!$E$32="NIK (Domestik)"),AND(LRTTHP!$I$32="individu ",LRTTHP!$E$32="National ID (Asing)"),AND(LRTTHP!$I$32="Badan Usaha",LRTTHP!$E$32="NPWP (Domestik)"),AND(LRTTHP!$I$32="Badan Usaha",LRTTHP!$E$32="Identification No./ Tax Id/Sejenis (Asing)")),TRUE,FALSE)</f>
        <v/>
      </c>
      <c r="H26" s="2" t="n"/>
    </row>
    <row r="27" ht="15.5" customHeight="1">
      <c r="B27" s="2" t="n"/>
      <c r="C27" s="10" t="n">
        <v>18</v>
      </c>
      <c r="D27" s="10" t="inlineStr">
        <is>
          <t>LRTTHP</t>
        </is>
      </c>
      <c r="E27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27" s="10" t="inlineStr">
        <is>
          <t>=IF(OR(AND(LRTTHP!$I$33="individu ",LRTTHP!$E$33="NIK (Domestik)"),AND(LRTTHP!$I$33="individu ",LRTTHP!$E$33="National ID (Asing)"),AND(LRTTHP!$I$33="Badan Usaha",LRTTHP!$E$33="NPWP (Domestik)"),AND(LRTTHP!$I$33="Badan Usaha",LRTTHP!$E$33="Identification No./ Tax Id/Sejenis (Asing)")),TRUE,FALSE)</t>
        </is>
      </c>
      <c r="G27" s="8">
        <f>IF(OR(AND(LRTTHP!$I$33="individu ",LRTTHP!$E$33="NIK (Domestik)"),AND(LRTTHP!$I$33="individu ",LRTTHP!$E$33="National ID (Asing)"),AND(LRTTHP!$I$33="Badan Usaha",LRTTHP!$E$33="NPWP (Domestik)"),AND(LRTTHP!$I$33="Badan Usaha",LRTTHP!$E$33="Identification No./ Tax Id/Sejenis (Asing)")),TRUE,FALSE)</f>
        <v/>
      </c>
      <c r="H27" s="2" t="n"/>
    </row>
    <row r="28" ht="15.5" customHeight="1">
      <c r="B28" s="2" t="n"/>
      <c r="C28" s="10" t="n">
        <v>19</v>
      </c>
      <c r="D28" s="10" t="inlineStr">
        <is>
          <t>LRTTHP</t>
        </is>
      </c>
      <c r="E28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28" s="10" t="inlineStr">
        <is>
          <t>=IF(OR(AND(LRTTHP!$I$34="individu ",LRTTHP!$E$34="NIK (Domestik)"),AND(LRTTHP!$I$34="individu ",LRTTHP!$E$34="National ID (Asing)"),AND(LRTTHP!$I$34="Badan Usaha",LRTTHP!$E$34="NPWP (Domestik)"),AND(LRTTHP!$I$34="Badan Usaha",LRTTHP!$E$34="Identification No./ Tax Id/Sejenis (Asing)")),TRUE,FALSE)</t>
        </is>
      </c>
      <c r="G28" s="8">
        <f>IF(OR(AND(LRTTHP!$I$34="individu ",LRTTHP!$E$34="NIK (Domestik)"),AND(LRTTHP!$I$34="individu ",LRTTHP!$E$34="National ID (Asing)"),AND(LRTTHP!$I$34="Badan Usaha",LRTTHP!$E$34="NPWP (Domestik)"),AND(LRTTHP!$I$34="Badan Usaha",LRTTHP!$E$34="Identification No./ Tax Id/Sejenis (Asing)")),TRUE,FALSE)</f>
        <v/>
      </c>
      <c r="H28" s="2" t="n"/>
    </row>
    <row r="29" ht="15.5" customHeight="1">
      <c r="B29" s="2" t="n"/>
      <c r="C29" s="10" t="n">
        <v>20</v>
      </c>
      <c r="D29" s="10" t="inlineStr">
        <is>
          <t>LRTTHP</t>
        </is>
      </c>
      <c r="E29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29" s="10" t="inlineStr">
        <is>
          <t>=IF(OR(AND(LRTTHP!$I$35="individu ",LRTTHP!$E$35="NIK (Domestik)"),AND(LRTTHP!$I$35="individu ",LRTTHP!$E$35="National ID (Asing)"),AND(LRTTHP!$I$35="Badan Usaha",LRTTHP!$E$35="NPWP (Domestik)"),AND(LRTTHP!$I$35="Badan Usaha",LRTTHP!$E$35="Identification No./ Tax Id/Sejenis (Asing)")),TRUE,FALSE)</t>
        </is>
      </c>
      <c r="G29" s="8">
        <f>IF(OR(AND(LRTTHP!$I$35="individu ",LRTTHP!$E$35="NIK (Domestik)"),AND(LRTTHP!$I$35="individu ",LRTTHP!$E$35="National ID (Asing)"),AND(LRTTHP!$I$35="Badan Usaha",LRTTHP!$E$35="NPWP (Domestik)"),AND(LRTTHP!$I$35="Badan Usaha",LRTTHP!$E$35="Identification No./ Tax Id/Sejenis (Asing)")),TRUE,FALSE)</f>
        <v/>
      </c>
      <c r="H29" s="2" t="n"/>
    </row>
    <row r="30" ht="15.5" customHeight="1">
      <c r="B30" s="2" t="n"/>
      <c r="C30" s="10" t="n">
        <v>21</v>
      </c>
      <c r="D30" s="10" t="inlineStr">
        <is>
          <t>LRTTOPA</t>
        </is>
      </c>
      <c r="E30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30" s="10" t="inlineStr">
        <is>
          <t>=IF(OR(AND(LRTTOPA!$I$16="individu ",LRTTOPA!$E$16="NIK (Domestik)"),AND(LRTTOPA!$I$16="individu ",LRTTOPA!$E$16="National ID (Asing)"),AND(LRTTOPA!$I$16="Badan Usaha",LRTTOPA!$E$16="NPWP (Domestik)"),AND(LRTTOPA!$I$16="Badan Usaha",LRTTOPA!$E$16="Identification No./ Tax Id/Sejenis (Asing)")),TRUE,FALSE)</t>
        </is>
      </c>
      <c r="G30" s="8">
        <f>IF(OR(AND(LRTTOPA!$I$16="individu ",LRTTOPA!$E$16="NIK (Domestik)"),AND(LRTTOPA!$I$16="individu ",LRTTOPA!$E$16="National ID (Asing)"),AND(LRTTOPA!$I$16="Badan Usaha",LRTTOPA!$E$16="NPWP (Domestik)"),AND(LRTTOPA!$I$16="Badan Usaha",LRTTOPA!$E$16="Identification No./ Tax Id/Sejenis (Asing)")),TRUE,FALSE)</f>
        <v/>
      </c>
      <c r="H30" s="2" t="n"/>
    </row>
    <row r="31" ht="15.5" customHeight="1">
      <c r="B31" s="2" t="n"/>
      <c r="C31" s="10" t="n">
        <v>22</v>
      </c>
      <c r="D31" s="10" t="inlineStr">
        <is>
          <t>LRTTOPA</t>
        </is>
      </c>
      <c r="E31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31" s="10" t="inlineStr">
        <is>
          <t>=IF(OR(AND(LRTTOPA!$I$17="individu ",LRTTOPA!$E$17="NIK (Domestik)"),AND(LRTTOPA!$I$17="individu ",LRTTOPA!$E$17="National ID (Asing)"),AND(LRTTOPA!$I$17="Badan Usaha",LRTTOPA!$E$17="NPWP (Domestik)"),AND(LRTTOPA!$I$17="Badan Usaha",LRTTOPA!$E$17="Identification No./ Tax Id/Sejenis (Asing)")),TRUE,FALSE)</t>
        </is>
      </c>
      <c r="G31" s="8">
        <f>IF(OR(AND(LRTTOPA!$I$17="individu ",LRTTOPA!$E$17="NIK (Domestik)"),AND(LRTTOPA!$I$17="individu ",LRTTOPA!$E$17="National ID (Asing)"),AND(LRTTOPA!$I$17="Badan Usaha",LRTTOPA!$E$17="NPWP (Domestik)"),AND(LRTTOPA!$I$17="Badan Usaha",LRTTOPA!$E$17="Identification No./ Tax Id/Sejenis (Asing)")),TRUE,FALSE)</f>
        <v/>
      </c>
      <c r="H31" s="2" t="n"/>
    </row>
    <row r="32" ht="15.5" customHeight="1">
      <c r="B32" s="2" t="n"/>
      <c r="C32" s="10" t="n">
        <v>23</v>
      </c>
      <c r="D32" s="10" t="inlineStr">
        <is>
          <t>LRTTOPA</t>
        </is>
      </c>
      <c r="E32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32" s="10" t="inlineStr">
        <is>
          <t>=IF(OR(AND(LRTTOPA!$I$18="individu ",LRTTOPA!$E$18="NIK (Domestik)"),AND(LRTTOPA!$I$18="individu ",LRTTOPA!$E$18="National ID (Asing)"),AND(LRTTOPA!$I$18="Badan Usaha",LRTTOPA!$E$18="NPWP (Domestik)"),AND(LRTTOPA!$I$18="Badan Usaha",LRTTOPA!$E$18="Identification No./ Tax Id/Sejenis (Asing)")),TRUE,FALSE)</t>
        </is>
      </c>
      <c r="G32" s="8">
        <f>IF(OR(AND(LRTTOPA!$I$18="individu ",LRTTOPA!$E$18="NIK (Domestik)"),AND(LRTTOPA!$I$18="individu ",LRTTOPA!$E$18="National ID (Asing)"),AND(LRTTOPA!$I$18="Badan Usaha",LRTTOPA!$E$18="NPWP (Domestik)"),AND(LRTTOPA!$I$18="Badan Usaha",LRTTOPA!$E$18="Identification No./ Tax Id/Sejenis (Asing)")),TRUE,FALSE)</f>
        <v/>
      </c>
      <c r="H32" s="2" t="n"/>
    </row>
    <row r="33" ht="15.5" customHeight="1">
      <c r="B33" s="2" t="n"/>
      <c r="C33" s="10" t="n">
        <v>24</v>
      </c>
      <c r="D33" s="10" t="inlineStr">
        <is>
          <t>LRTTOPA</t>
        </is>
      </c>
      <c r="E33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33" s="10" t="inlineStr">
        <is>
          <t>=IF(OR(AND(LRTTOPA!$I$19="individu ",LRTTOPA!$E$19="NIK (Domestik)"),AND(LRTTOPA!$I$19="individu ",LRTTOPA!$E$19="National ID (Asing)"),AND(LRTTOPA!$I$19="Badan Usaha",LRTTOPA!$E$19="NPWP (Domestik)"),AND(LRTTOPA!$I$19="Badan Usaha",LRTTOPA!$E$19="Identification No./ Tax Id/Sejenis (Asing)")),TRUE,FALSE)</t>
        </is>
      </c>
      <c r="G33" s="8">
        <f>IF(OR(AND(LRTTOPA!$I$19="individu ",LRTTOPA!$E$19="NIK (Domestik)"),AND(LRTTOPA!$I$19="individu ",LRTTOPA!$E$19="National ID (Asing)"),AND(LRTTOPA!$I$19="Badan Usaha",LRTTOPA!$E$19="NPWP (Domestik)"),AND(LRTTOPA!$I$19="Badan Usaha",LRTTOPA!$E$19="Identification No./ Tax Id/Sejenis (Asing)")),TRUE,FALSE)</f>
        <v/>
      </c>
      <c r="H33" s="2" t="n"/>
    </row>
    <row r="34" ht="15.5" customHeight="1">
      <c r="B34" s="2" t="n"/>
      <c r="C34" s="10" t="n">
        <v>25</v>
      </c>
      <c r="D34" s="10" t="inlineStr">
        <is>
          <t>LRTTOPA</t>
        </is>
      </c>
      <c r="E34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34" s="10" t="inlineStr">
        <is>
          <t>=IF(OR(AND(LRTTOPA!$I$20="individu ",LRTTOPA!$E$20="NIK (Domestik)"),AND(LRTTOPA!$I$20="individu ",LRTTOPA!$E$20="National ID (Asing)"),AND(LRTTOPA!$I$20="Badan Usaha",LRTTOPA!$E$20="NPWP (Domestik)"),AND(LRTTOPA!$I$20="Badan Usaha",LRTTOPA!$E$20="Identification No./ Tax Id/Sejenis (Asing)")),TRUE,FALSE)</t>
        </is>
      </c>
      <c r="G34" s="8">
        <f>IF(OR(AND(LRTTOPA!$I$20="individu ",LRTTOPA!$E$20="NIK (Domestik)"),AND(LRTTOPA!$I$20="individu ",LRTTOPA!$E$20="National ID (Asing)"),AND(LRTTOPA!$I$20="Badan Usaha",LRTTOPA!$E$20="NPWP (Domestik)"),AND(LRTTOPA!$I$20="Badan Usaha",LRTTOPA!$E$20="Identification No./ Tax Id/Sejenis (Asing)")),TRUE,FALSE)</f>
        <v/>
      </c>
      <c r="H34" s="2" t="n"/>
    </row>
    <row r="35" ht="15.5" customHeight="1">
      <c r="B35" s="2" t="n"/>
      <c r="C35" s="10" t="n">
        <v>26</v>
      </c>
      <c r="D35" s="10" t="inlineStr">
        <is>
          <t>LRTTOPA</t>
        </is>
      </c>
      <c r="E35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35" s="10" t="inlineStr">
        <is>
          <t>=IF(OR(AND(LRTTOPA!$I$21="individu ",LRTTOPA!$E$21="NIK (Domestik)"),AND(LRTTOPA!$I$21="individu ",LRTTOPA!$E$21="National ID (Asing)"),AND(LRTTOPA!$I$21="Badan Usaha",LRTTOPA!$E$21="NPWP (Domestik)"),AND(LRTTOPA!$I$21="Badan Usaha",LRTTOPA!$E$21="Identification No./ Tax Id/Sejenis (Asing)")),TRUE,FALSE)</t>
        </is>
      </c>
      <c r="G35" s="8">
        <f>IF(OR(AND(LRTTOPA!$I$21="individu ",LRTTOPA!$E$21="NIK (Domestik)"),AND(LRTTOPA!$I$21="individu ",LRTTOPA!$E$21="National ID (Asing)"),AND(LRTTOPA!$I$21="Badan Usaha",LRTTOPA!$E$21="NPWP (Domestik)"),AND(LRTTOPA!$I$21="Badan Usaha",LRTTOPA!$E$21="Identification No./ Tax Id/Sejenis (Asing)")),TRUE,FALSE)</f>
        <v/>
      </c>
      <c r="H35" s="2" t="n"/>
    </row>
    <row r="36" ht="15.5" customHeight="1">
      <c r="B36" s="2" t="n"/>
      <c r="C36" s="10" t="n">
        <v>27</v>
      </c>
      <c r="D36" s="10" t="inlineStr">
        <is>
          <t>LRTTOPA</t>
        </is>
      </c>
      <c r="E36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36" s="10" t="inlineStr">
        <is>
          <t>=IF(OR(AND(LRTTOPA!$I$22="individu ",LRTTOPA!$E$22="NIK (Domestik)"),AND(LRTTOPA!$I$22="individu ",LRTTOPA!$E$22="National ID (Asing)"),AND(LRTTOPA!$I$22="Badan Usaha",LRTTOPA!$E$22="NPWP (Domestik)"),AND(LRTTOPA!$I$22="Badan Usaha",LRTTOPA!$E$22="Identification No./ Tax Id/Sejenis (Asing)")),TRUE,FALSE)</t>
        </is>
      </c>
      <c r="G36" s="8">
        <f>IF(OR(AND(LRTTOPA!$I$22="individu ",LRTTOPA!$E$22="NIK (Domestik)"),AND(LRTTOPA!$I$22="individu ",LRTTOPA!$E$22="National ID (Asing)"),AND(LRTTOPA!$I$22="Badan Usaha",LRTTOPA!$E$22="NPWP (Domestik)"),AND(LRTTOPA!$I$22="Badan Usaha",LRTTOPA!$E$22="Identification No./ Tax Id/Sejenis (Asing)")),TRUE,FALSE)</f>
        <v/>
      </c>
      <c r="H36" s="2" t="n"/>
    </row>
    <row r="37" ht="15.5" customHeight="1">
      <c r="B37" s="2" t="n"/>
      <c r="C37" s="10" t="n">
        <v>28</v>
      </c>
      <c r="D37" s="10" t="inlineStr">
        <is>
          <t>LRTTOPA</t>
        </is>
      </c>
      <c r="E37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37" s="10" t="inlineStr">
        <is>
          <t>=IF(OR(AND(LRTTOPA!$I$23="individu ",LRTTOPA!$E$23="NIK (Domestik)"),AND(LRTTOPA!$I$23="individu ",LRTTOPA!$E$23="National ID (Asing)"),AND(LRTTOPA!$I$23="Badan Usaha",LRTTOPA!$E$23="NPWP (Domestik)"),AND(LRTTOPA!$I$23="Badan Usaha",LRTTOPA!$E$23="Identification No./ Tax Id/Sejenis (Asing)")),TRUE,FALSE)</t>
        </is>
      </c>
      <c r="G37" s="8">
        <f>IF(OR(AND(LRTTOPA!$I$23="individu ",LRTTOPA!$E$23="NIK (Domestik)"),AND(LRTTOPA!$I$23="individu ",LRTTOPA!$E$23="National ID (Asing)"),AND(LRTTOPA!$I$23="Badan Usaha",LRTTOPA!$E$23="NPWP (Domestik)"),AND(LRTTOPA!$I$23="Badan Usaha",LRTTOPA!$E$23="Identification No./ Tax Id/Sejenis (Asing)")),TRUE,FALSE)</f>
        <v/>
      </c>
      <c r="H37" s="2" t="n"/>
    </row>
    <row r="38" ht="15.5" customHeight="1">
      <c r="B38" s="2" t="n"/>
      <c r="C38" s="10" t="n">
        <v>29</v>
      </c>
      <c r="D38" s="10" t="inlineStr">
        <is>
          <t>LRTTOPA</t>
        </is>
      </c>
      <c r="E38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38" s="10" t="inlineStr">
        <is>
          <t>=IF(OR(AND(LRTTOPA!$I$24="individu ",LRTTOPA!$E$24="NIK (Domestik)"),AND(LRTTOPA!$I$24="individu ",LRTTOPA!$E$24="National ID (Asing)"),AND(LRTTOPA!$I$24="Badan Usaha",LRTTOPA!$E$24="NPWP (Domestik)"),AND(LRTTOPA!$I$24="Badan Usaha",LRTTOPA!$E$24="Identification No./ Tax Id/Sejenis (Asing)")),TRUE,FALSE)</t>
        </is>
      </c>
      <c r="G38" s="8">
        <f>IF(OR(AND(LRTTOPA!$I$24="individu ",LRTTOPA!$E$24="NIK (Domestik)"),AND(LRTTOPA!$I$24="individu ",LRTTOPA!$E$24="National ID (Asing)"),AND(LRTTOPA!$I$24="Badan Usaha",LRTTOPA!$E$24="NPWP (Domestik)"),AND(LRTTOPA!$I$24="Badan Usaha",LRTTOPA!$E$24="Identification No./ Tax Id/Sejenis (Asing)")),TRUE,FALSE)</f>
        <v/>
      </c>
      <c r="H38" s="2" t="n"/>
    </row>
    <row r="39" ht="15.5" customHeight="1">
      <c r="B39" s="2" t="n"/>
      <c r="C39" s="10" t="n">
        <v>30</v>
      </c>
      <c r="D39" s="10" t="inlineStr">
        <is>
          <t>LRTTOPA</t>
        </is>
      </c>
      <c r="E39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39" s="10" t="inlineStr">
        <is>
          <t>=IF(OR(AND(LRTTOPA!$I$25="individu ",LRTTOPA!$E$25="NIK (Domestik)"),AND(LRTTOPA!$I$25="individu ",LRTTOPA!$E$25="National ID (Asing)"),AND(LRTTOPA!$I$25="Badan Usaha",LRTTOPA!$E$25="NPWP (Domestik)"),AND(LRTTOPA!$I$25="Badan Usaha",LRTTOPA!$E$25="Identification No./ Tax Id/Sejenis (Asing)")),TRUE,FALSE)</t>
        </is>
      </c>
      <c r="G39" s="8">
        <f>IF(OR(AND(LRTTOPA!$I$25="individu ",LRTTOPA!$E$25="NIK (Domestik)"),AND(LRTTOPA!$I$25="individu ",LRTTOPA!$E$25="National ID (Asing)"),AND(LRTTOPA!$I$25="Badan Usaha",LRTTOPA!$E$25="NPWP (Domestik)"),AND(LRTTOPA!$I$25="Badan Usaha",LRTTOPA!$E$25="Identification No./ Tax Id/Sejenis (Asing)")),TRUE,FALSE)</f>
        <v/>
      </c>
      <c r="H39" s="2" t="n"/>
    </row>
    <row r="40" ht="15.5" customHeight="1">
      <c r="B40" s="2" t="n"/>
      <c r="C40" s="10" t="n">
        <v>31</v>
      </c>
      <c r="D40" s="10" t="inlineStr">
        <is>
          <t>LRTTOPA</t>
        </is>
      </c>
      <c r="E40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40" s="10" t="inlineStr">
        <is>
          <t>=IF(OR(AND(LRTTOPA!$I$26="individu ",LRTTOPA!$E$26="NIK (Domestik)"),AND(LRTTOPA!$I$26="individu ",LRTTOPA!$E$26="National ID (Asing)"),AND(LRTTOPA!$I$26="Badan Usaha",LRTTOPA!$E$26="NPWP (Domestik)"),AND(LRTTOPA!$I$26="Badan Usaha",LRTTOPA!$E$26="Identification No./ Tax Id/Sejenis (Asing)")),TRUE,FALSE)</t>
        </is>
      </c>
      <c r="G40" s="8">
        <f>IF(OR(AND(LRTTOPA!$I$26="individu ",LRTTOPA!$E$26="NIK (Domestik)"),AND(LRTTOPA!$I$26="individu ",LRTTOPA!$E$26="National ID (Asing)"),AND(LRTTOPA!$I$26="Badan Usaha",LRTTOPA!$E$26="NPWP (Domestik)"),AND(LRTTOPA!$I$26="Badan Usaha",LRTTOPA!$E$26="Identification No./ Tax Id/Sejenis (Asing)")),TRUE,FALSE)</f>
        <v/>
      </c>
      <c r="H40" s="2" t="n"/>
    </row>
    <row r="41" ht="15.5" customHeight="1">
      <c r="B41" s="2" t="n"/>
      <c r="C41" s="10" t="n">
        <v>32</v>
      </c>
      <c r="D41" s="10" t="inlineStr">
        <is>
          <t>LRTTOPA</t>
        </is>
      </c>
      <c r="E41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41" s="10" t="inlineStr">
        <is>
          <t>=IF(OR(AND(LRTTOPA!$I$27="individu ",LRTTOPA!$E$27="NIK (Domestik)"),AND(LRTTOPA!$I$27="individu ",LRTTOPA!$E$27="National ID (Asing)"),AND(LRTTOPA!$I$27="Badan Usaha",LRTTOPA!$E$27="NPWP (Domestik)"),AND(LRTTOPA!$I$27="Badan Usaha",LRTTOPA!$E$27="Identification No./ Tax Id/Sejenis (Asing)")),TRUE,FALSE)</t>
        </is>
      </c>
      <c r="G41" s="8">
        <f>IF(OR(AND(LRTTOPA!$I$27="individu ",LRTTOPA!$E$27="NIK (Domestik)"),AND(LRTTOPA!$I$27="individu ",LRTTOPA!$E$27="National ID (Asing)"),AND(LRTTOPA!$I$27="Badan Usaha",LRTTOPA!$E$27="NPWP (Domestik)"),AND(LRTTOPA!$I$27="Badan Usaha",LRTTOPA!$E$27="Identification No./ Tax Id/Sejenis (Asing)")),TRUE,FALSE)</f>
        <v/>
      </c>
      <c r="H41" s="2" t="n"/>
    </row>
    <row r="42" ht="15.5" customHeight="1">
      <c r="B42" s="2" t="n"/>
      <c r="C42" s="10" t="n">
        <v>33</v>
      </c>
      <c r="D42" s="10" t="inlineStr">
        <is>
          <t>LRTTOPA</t>
        </is>
      </c>
      <c r="E42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42" s="10" t="inlineStr">
        <is>
          <t>=IF(OR(AND(LRTTOPA!$I$28="individu ",LRTTOPA!$E$28="NIK (Domestik)"),AND(LRTTOPA!$I$28="individu ",LRTTOPA!$E$28="National ID (Asing)"),AND(LRTTOPA!$I$28="Badan Usaha",LRTTOPA!$E$28="NPWP (Domestik)"),AND(LRTTOPA!$I$28="Badan Usaha",LRTTOPA!$E$28="Identification No./ Tax Id/Sejenis (Asing)")),TRUE,FALSE)</t>
        </is>
      </c>
      <c r="G42" s="8">
        <f>IF(OR(AND(LRTTOPA!$I$28="individu ",LRTTOPA!$E$28="NIK (Domestik)"),AND(LRTTOPA!$I$28="individu ",LRTTOPA!$E$28="National ID (Asing)"),AND(LRTTOPA!$I$28="Badan Usaha",LRTTOPA!$E$28="NPWP (Domestik)"),AND(LRTTOPA!$I$28="Badan Usaha",LRTTOPA!$E$28="Identification No./ Tax Id/Sejenis (Asing)")),TRUE,FALSE)</f>
        <v/>
      </c>
      <c r="H42" s="2" t="n"/>
    </row>
    <row r="43" ht="15.5" customHeight="1">
      <c r="B43" s="2" t="n"/>
      <c r="C43" s="10" t="n">
        <v>34</v>
      </c>
      <c r="D43" s="10" t="inlineStr">
        <is>
          <t>LRTTOPA</t>
        </is>
      </c>
      <c r="E43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43" s="10" t="inlineStr">
        <is>
          <t>=IF(OR(AND(LRTTOPA!$I$29="individu ",LRTTOPA!$E$29="NIK (Domestik)"),AND(LRTTOPA!$I$29="individu ",LRTTOPA!$E$29="National ID (Asing)"),AND(LRTTOPA!$I$29="Badan Usaha",LRTTOPA!$E$29="NPWP (Domestik)"),AND(LRTTOPA!$I$29="Badan Usaha",LRTTOPA!$E$29="Identification No./ Tax Id/Sejenis (Asing)")),TRUE,FALSE)</t>
        </is>
      </c>
      <c r="G43" s="8">
        <f>IF(OR(AND(LRTTOPA!$I$29="individu ",LRTTOPA!$E$29="NIK (Domestik)"),AND(LRTTOPA!$I$29="individu ",LRTTOPA!$E$29="National ID (Asing)"),AND(LRTTOPA!$I$29="Badan Usaha",LRTTOPA!$E$29="NPWP (Domestik)"),AND(LRTTOPA!$I$29="Badan Usaha",LRTTOPA!$E$29="Identification No./ Tax Id/Sejenis (Asing)")),TRUE,FALSE)</f>
        <v/>
      </c>
      <c r="H43" s="2" t="n"/>
    </row>
    <row r="44" ht="15.5" customHeight="1">
      <c r="B44" s="2" t="n"/>
      <c r="C44" s="10" t="n">
        <v>35</v>
      </c>
      <c r="D44" s="10" t="inlineStr">
        <is>
          <t>LRTTOPA</t>
        </is>
      </c>
      <c r="E44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44" s="10" t="inlineStr">
        <is>
          <t>=IF(OR(AND(LRTTOPA!$I$30="individu ",LRTTOPA!$E$30="NIK (Domestik)"),AND(LRTTOPA!$I$30="individu ",LRTTOPA!$E$30="National ID (Asing)"),AND(LRTTOPA!$I$30="Badan Usaha",LRTTOPA!$E$30="NPWP (Domestik)"),AND(LRTTOPA!$I$30="Badan Usaha",LRTTOPA!$E$30="Identification No./ Tax Id/Sejenis (Asing)")),TRUE,FALSE)</t>
        </is>
      </c>
      <c r="G44" s="8">
        <f>IF(OR(AND(LRTTOPA!$I$30="individu ",LRTTOPA!$E$30="NIK (Domestik)"),AND(LRTTOPA!$I$30="individu ",LRTTOPA!$E$30="National ID (Asing)"),AND(LRTTOPA!$I$30="Badan Usaha",LRTTOPA!$E$30="NPWP (Domestik)"),AND(LRTTOPA!$I$30="Badan Usaha",LRTTOPA!$E$30="Identification No./ Tax Id/Sejenis (Asing)")),TRUE,FALSE)</f>
        <v/>
      </c>
      <c r="H44" s="2" t="n"/>
    </row>
    <row r="45" ht="15.5" customHeight="1">
      <c r="B45" s="2" t="n"/>
      <c r="C45" s="10" t="n">
        <v>36</v>
      </c>
      <c r="D45" s="10" t="inlineStr">
        <is>
          <t>LRTTOPA</t>
        </is>
      </c>
      <c r="E45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45" s="10" t="inlineStr">
        <is>
          <t>=IF(OR(AND(LRTTOPA!$I$31="individu ",LRTTOPA!$E$31="NIK (Domestik)"),AND(LRTTOPA!$I$31="individu ",LRTTOPA!$E$31="National ID (Asing)"),AND(LRTTOPA!$I$31="Badan Usaha",LRTTOPA!$E$31="NPWP (Domestik)"),AND(LRTTOPA!$I$31="Badan Usaha",LRTTOPA!$E$31="Identification No./ Tax Id/Sejenis (Asing)")),TRUE,FALSE)</t>
        </is>
      </c>
      <c r="G45" s="8">
        <f>IF(OR(AND(LRTTOPA!$I$31="individu ",LRTTOPA!$E$31="NIK (Domestik)"),AND(LRTTOPA!$I$31="individu ",LRTTOPA!$E$31="National ID (Asing)"),AND(LRTTOPA!$I$31="Badan Usaha",LRTTOPA!$E$31="NPWP (Domestik)"),AND(LRTTOPA!$I$31="Badan Usaha",LRTTOPA!$E$31="Identification No./ Tax Id/Sejenis (Asing)")),TRUE,FALSE)</f>
        <v/>
      </c>
      <c r="H45" s="2" t="n"/>
    </row>
    <row r="46" ht="15.5" customHeight="1">
      <c r="B46" s="2" t="n"/>
      <c r="C46" s="10" t="n">
        <v>37</v>
      </c>
      <c r="D46" s="10" t="inlineStr">
        <is>
          <t>LRTTOPA</t>
        </is>
      </c>
      <c r="E46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46" s="10" t="inlineStr">
        <is>
          <t>=IF(OR(AND(LRTTOPA!$I$32="individu ",LRTTOPA!$E$32="NIK (Domestik)"),AND(LRTTOPA!$I$32="individu ",LRTTOPA!$E$32="National ID (Asing)"),AND(LRTTOPA!$I$32="Badan Usaha",LRTTOPA!$E$32="NPWP (Domestik)"),AND(LRTTOPA!$I$32="Badan Usaha",LRTTOPA!$E$32="Identification No./ Tax Id/Sejenis (Asing)")),TRUE,FALSE)</t>
        </is>
      </c>
      <c r="G46" s="8">
        <f>IF(OR(AND(LRTTOPA!$I$32="individu ",LRTTOPA!$E$32="NIK (Domestik)"),AND(LRTTOPA!$I$32="individu ",LRTTOPA!$E$32="National ID (Asing)"),AND(LRTTOPA!$I$32="Badan Usaha",LRTTOPA!$E$32="NPWP (Domestik)"),AND(LRTTOPA!$I$32="Badan Usaha",LRTTOPA!$E$32="Identification No./ Tax Id/Sejenis (Asing)")),TRUE,FALSE)</f>
        <v/>
      </c>
      <c r="H46" s="2" t="n"/>
    </row>
    <row r="47" ht="15.5" customHeight="1">
      <c r="B47" s="2" t="n"/>
      <c r="C47" s="10" t="n">
        <v>38</v>
      </c>
      <c r="D47" s="10" t="inlineStr">
        <is>
          <t>LRTTOPA</t>
        </is>
      </c>
      <c r="E47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47" s="10" t="inlineStr">
        <is>
          <t>=IF(OR(AND(LRTTOPA!$I$33="individu ",LRTTOPA!$E$33="NIK (Domestik)"),AND(LRTTOPA!$I$33="individu ",LRTTOPA!$E$33="National ID (Asing)"),AND(LRTTOPA!$I$33="Badan Usaha",LRTTOPA!$E$33="NPWP (Domestik)"),AND(LRTTOPA!$I$33="Badan Usaha",LRTTOPA!$E$33="Identification No./ Tax Id/Sejenis (Asing)")),TRUE,FALSE)</t>
        </is>
      </c>
      <c r="G47" s="8">
        <f>IF(OR(AND(LRTTOPA!$I$33="individu ",LRTTOPA!$E$33="NIK (Domestik)"),AND(LRTTOPA!$I$33="individu ",LRTTOPA!$E$33="National ID (Asing)"),AND(LRTTOPA!$I$33="Badan Usaha",LRTTOPA!$E$33="NPWP (Domestik)"),AND(LRTTOPA!$I$33="Badan Usaha",LRTTOPA!$E$33="Identification No./ Tax Id/Sejenis (Asing)")),TRUE,FALSE)</f>
        <v/>
      </c>
      <c r="H47" s="2" t="n"/>
    </row>
    <row r="48" ht="15.5" customHeight="1">
      <c r="B48" s="2" t="n"/>
      <c r="C48" s="10" t="n">
        <v>39</v>
      </c>
      <c r="D48" s="10" t="inlineStr">
        <is>
          <t>LRTTOPA</t>
        </is>
      </c>
      <c r="E48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48" s="10" t="inlineStr">
        <is>
          <t>=IF(OR(AND(LRTTOPA!$I$34="individu ",LRTTOPA!$E$34="NIK (Domestik)"),AND(LRTTOPA!$I$34="individu ",LRTTOPA!$E$34="National ID (Asing)"),AND(LRTTOPA!$I$34="Badan Usaha",LRTTOPA!$E$34="NPWP (Domestik)"),AND(LRTTOPA!$I$34="Badan Usaha",LRTTOPA!$E$34="Identification No./ Tax Id/Sejenis (Asing)")),TRUE,FALSE)</t>
        </is>
      </c>
      <c r="G48" s="8">
        <f>IF(OR(AND(LRTTOPA!$I$34="individu ",LRTTOPA!$E$34="NIK (Domestik)"),AND(LRTTOPA!$I$34="individu ",LRTTOPA!$E$34="National ID (Asing)"),AND(LRTTOPA!$I$34="Badan Usaha",LRTTOPA!$E$34="NPWP (Domestik)"),AND(LRTTOPA!$I$34="Badan Usaha",LRTTOPA!$E$34="Identification No./ Tax Id/Sejenis (Asing)")),TRUE,FALSE)</f>
        <v/>
      </c>
      <c r="H48" s="2" t="n"/>
    </row>
    <row r="49" ht="15.5" customHeight="1">
      <c r="B49" s="2" t="n"/>
      <c r="C49" s="10" t="n">
        <v>40</v>
      </c>
      <c r="D49" s="10" t="inlineStr">
        <is>
          <t>LRTTOPA</t>
        </is>
      </c>
      <c r="E49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49" s="10" t="inlineStr">
        <is>
          <t>=IF(OR(AND(LRTTOPA!$I$35="individu ",LRTTOPA!$E$35="NIK (Domestik)"),AND(LRTTOPA!$I$35="individu ",LRTTOPA!$E$35="National ID (Asing)"),AND(LRTTOPA!$I$35="Badan Usaha",LRTTOPA!$E$35="NPWP (Domestik)"),AND(LRTTOPA!$I$35="Badan Usaha",LRTTOPA!$E$35="Identification No./ Tax Id/Sejenis (Asing)")),TRUE,FALSE)</t>
        </is>
      </c>
      <c r="G49" s="8">
        <f>IF(OR(AND(LRTTOPA!$I$35="individu ",LRTTOPA!$E$35="NIK (Domestik)"),AND(LRTTOPA!$I$35="individu ",LRTTOPA!$E$35="National ID (Asing)"),AND(LRTTOPA!$I$35="Badan Usaha",LRTTOPA!$E$35="NPWP (Domestik)"),AND(LRTTOPA!$I$35="Badan Usaha",LRTTOPA!$E$35="Identification No./ Tax Id/Sejenis (Asing)")),TRUE,FALSE)</f>
        <v/>
      </c>
      <c r="H49" s="2" t="n"/>
    </row>
    <row r="50" ht="15.5" customHeight="1">
      <c r="B50" s="2" t="n"/>
      <c r="C50" s="10" t="n">
        <v>41</v>
      </c>
      <c r="D50" s="10" t="inlineStr">
        <is>
          <t>LRTNWDA</t>
        </is>
      </c>
      <c r="E50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50" s="10" t="inlineStr">
        <is>
          <t>=IF(OR(AND(LRTNWDA!$I$16="individu ",LRTNWDA!$E$16="NIK (Domestik)"),AND(LRTNWDA!$I$16="individu ",LRTNWDA!$E$16="National ID (Asing)"),AND(LRTNWDA!$I$16="Badan Usaha",LRTNWDA!$E$16="NPWP (Domestik)"),AND(LRTNWDA!$I$16="Badan Usaha",LRTNWDA!$E$16="Identification No./ Tax Id/Sejenis (Asing)")),TRUE,FALSE)</t>
        </is>
      </c>
      <c r="G50" s="8">
        <f>IF(OR(AND(LRTNWDA!$I$16="individu ",LRTNWDA!$E$16="NIK (Domestik)"),AND(LRTNWDA!$I$16="individu ",LRTNWDA!$E$16="National ID (Asing)"),AND(LRTNWDA!$I$16="Badan Usaha",LRTNWDA!$E$16="NPWP (Domestik)"),AND(LRTNWDA!$I$16="Badan Usaha",LRTNWDA!$E$16="Identification No./ Tax Id/Sejenis (Asing)")),TRUE,FALSE)</f>
        <v/>
      </c>
      <c r="H50" s="2" t="n"/>
    </row>
    <row r="51" ht="15.5" customHeight="1">
      <c r="B51" s="2" t="n"/>
      <c r="C51" s="10" t="n">
        <v>42</v>
      </c>
      <c r="D51" s="10" t="inlineStr">
        <is>
          <t>LRTNWDA</t>
        </is>
      </c>
      <c r="E51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51" s="10" t="inlineStr">
        <is>
          <t>=IF(OR(AND(LRTNWDA!$I$17="individu ",LRTNWDA!$E$17="NIK (Domestik)"),AND(LRTNWDA!$I$17="individu ",LRTNWDA!$E$17="National ID (Asing)"),AND(LRTNWDA!$I$17="Badan Usaha",LRTNWDA!$E$17="NPWP (Domestik)"),AND(LRTNWDA!$I$17="Badan Usaha",LRTNWDA!$E$17="Identification No./ Tax Id/Sejenis (Asing)")),TRUE,FALSE)</t>
        </is>
      </c>
      <c r="G51" s="8">
        <f>IF(OR(AND(LRTNWDA!$I$17="individu ",LRTNWDA!$E$17="NIK (Domestik)"),AND(LRTNWDA!$I$17="individu ",LRTNWDA!$E$17="National ID (Asing)"),AND(LRTNWDA!$I$17="Badan Usaha",LRTNWDA!$E$17="NPWP (Domestik)"),AND(LRTNWDA!$I$17="Badan Usaha",LRTNWDA!$E$17="Identification No./ Tax Id/Sejenis (Asing)")),TRUE,FALSE)</f>
        <v/>
      </c>
      <c r="H51" s="2" t="n"/>
    </row>
    <row r="52" ht="15.5" customHeight="1">
      <c r="B52" s="2" t="n"/>
      <c r="C52" s="10" t="n">
        <v>43</v>
      </c>
      <c r="D52" s="10" t="inlineStr">
        <is>
          <t>LRTNWDA</t>
        </is>
      </c>
      <c r="E52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52" s="10" t="inlineStr">
        <is>
          <t>=IF(OR(AND(LRTNWDA!$I$18="individu ",LRTNWDA!$E$18="NIK (Domestik)"),AND(LRTNWDA!$I$18="individu ",LRTNWDA!$E$18="National ID (Asing)"),AND(LRTNWDA!$I$18="Badan Usaha",LRTNWDA!$E$18="NPWP (Domestik)"),AND(LRTNWDA!$I$18="Badan Usaha",LRTNWDA!$E$18="Identification No./ Tax Id/Sejenis (Asing)")),TRUE,FALSE)</t>
        </is>
      </c>
      <c r="G52" s="8">
        <f>IF(OR(AND(LRTNWDA!$I$18="individu ",LRTNWDA!$E$18="NIK (Domestik)"),AND(LRTNWDA!$I$18="individu ",LRTNWDA!$E$18="National ID (Asing)"),AND(LRTNWDA!$I$18="Badan Usaha",LRTNWDA!$E$18="NPWP (Domestik)"),AND(LRTNWDA!$I$18="Badan Usaha",LRTNWDA!$E$18="Identification No./ Tax Id/Sejenis (Asing)")),TRUE,FALSE)</f>
        <v/>
      </c>
      <c r="H52" s="2" t="n"/>
    </row>
    <row r="53" ht="15.5" customHeight="1">
      <c r="B53" s="2" t="n"/>
      <c r="C53" s="10" t="n">
        <v>44</v>
      </c>
      <c r="D53" s="10" t="inlineStr">
        <is>
          <t>LRTNWDA</t>
        </is>
      </c>
      <c r="E53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53" s="10" t="inlineStr">
        <is>
          <t>=IF(OR(AND(LRTNWDA!$I$19="individu ",LRTNWDA!$E$19="NIK (Domestik)"),AND(LRTNWDA!$I$19="individu ",LRTNWDA!$E$19="National ID (Asing)"),AND(LRTNWDA!$I$19="Badan Usaha",LRTNWDA!$E$19="NPWP (Domestik)"),AND(LRTNWDA!$I$19="Badan Usaha",LRTNWDA!$E$19="Identification No./ Tax Id/Sejenis (Asing)")),TRUE,FALSE)</t>
        </is>
      </c>
      <c r="G53" s="8">
        <f>IF(OR(AND(LRTNWDA!$I$19="individu ",LRTNWDA!$E$19="NIK (Domestik)"),AND(LRTNWDA!$I$19="individu ",LRTNWDA!$E$19="National ID (Asing)"),AND(LRTNWDA!$I$19="Badan Usaha",LRTNWDA!$E$19="NPWP (Domestik)"),AND(LRTNWDA!$I$19="Badan Usaha",LRTNWDA!$E$19="Identification No./ Tax Id/Sejenis (Asing)")),TRUE,FALSE)</f>
        <v/>
      </c>
      <c r="H53" s="2" t="n"/>
    </row>
    <row r="54" ht="15.5" customHeight="1">
      <c r="B54" s="2" t="n"/>
      <c r="C54" s="10" t="n">
        <v>45</v>
      </c>
      <c r="D54" s="10" t="inlineStr">
        <is>
          <t>LRTNWDA</t>
        </is>
      </c>
      <c r="E54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54" s="10" t="inlineStr">
        <is>
          <t>=IF(OR(AND(LRTNWDA!$I$20="individu ",LRTNWDA!$E$20="NIK (Domestik)"),AND(LRTNWDA!$I$20="individu ",LRTNWDA!$E$20="National ID (Asing)"),AND(LRTNWDA!$I$20="Badan Usaha",LRTNWDA!$E$20="NPWP (Domestik)"),AND(LRTNWDA!$I$20="Badan Usaha",LRTNWDA!$E$20="Identification No./ Tax Id/Sejenis (Asing)")),TRUE,FALSE)</t>
        </is>
      </c>
      <c r="G54" s="8">
        <f>IF(OR(AND(LRTNWDA!$I$20="individu ",LRTNWDA!$E$20="NIK (Domestik)"),AND(LRTNWDA!$I$20="individu ",LRTNWDA!$E$20="National ID (Asing)"),AND(LRTNWDA!$I$20="Badan Usaha",LRTNWDA!$E$20="NPWP (Domestik)"),AND(LRTNWDA!$I$20="Badan Usaha",LRTNWDA!$E$20="Identification No./ Tax Id/Sejenis (Asing)")),TRUE,FALSE)</f>
        <v/>
      </c>
      <c r="H54" s="2" t="n"/>
    </row>
    <row r="55" ht="15.5" customHeight="1">
      <c r="B55" s="2" t="n"/>
      <c r="C55" s="10" t="n">
        <v>46</v>
      </c>
      <c r="D55" s="10" t="inlineStr">
        <is>
          <t>LRTNWDA</t>
        </is>
      </c>
      <c r="E55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55" s="10" t="inlineStr">
        <is>
          <t>=IF(OR(AND(LRTNWDA!$I$21="individu ",LRTNWDA!$E$21="NIK (Domestik)"),AND(LRTNWDA!$I$21="individu ",LRTNWDA!$E$21="National ID (Asing)"),AND(LRTNWDA!$I$21="Badan Usaha",LRTNWDA!$E$21="NPWP (Domestik)"),AND(LRTNWDA!$I$21="Badan Usaha",LRTNWDA!$E$21="Identification No./ Tax Id/Sejenis (Asing)")),TRUE,FALSE)</t>
        </is>
      </c>
      <c r="G55" s="8">
        <f>IF(OR(AND(LRTNWDA!$I$21="individu ",LRTNWDA!$E$21="NIK (Domestik)"),AND(LRTNWDA!$I$21="individu ",LRTNWDA!$E$21="National ID (Asing)"),AND(LRTNWDA!$I$21="Badan Usaha",LRTNWDA!$E$21="NPWP (Domestik)"),AND(LRTNWDA!$I$21="Badan Usaha",LRTNWDA!$E$21="Identification No./ Tax Id/Sejenis (Asing)")),TRUE,FALSE)</f>
        <v/>
      </c>
      <c r="H55" s="2" t="n"/>
    </row>
    <row r="56" ht="15.5" customHeight="1">
      <c r="B56" s="2" t="n"/>
      <c r="C56" s="10" t="n">
        <v>47</v>
      </c>
      <c r="D56" s="10" t="inlineStr">
        <is>
          <t>LRTNWDA</t>
        </is>
      </c>
      <c r="E56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56" s="10" t="inlineStr">
        <is>
          <t>=IF(OR(AND(LRTNWDA!$I$22="individu ",LRTNWDA!$E$22="NIK (Domestik)"),AND(LRTNWDA!$I$22="individu ",LRTNWDA!$E$22="National ID (Asing)"),AND(LRTNWDA!$I$22="Badan Usaha",LRTNWDA!$E$22="NPWP (Domestik)"),AND(LRTNWDA!$I$22="Badan Usaha",LRTNWDA!$E$22="Identification No./ Tax Id/Sejenis (Asing)")),TRUE,FALSE)</t>
        </is>
      </c>
      <c r="G56" s="8">
        <f>IF(OR(AND(LRTNWDA!$I$22="individu ",LRTNWDA!$E$22="NIK (Domestik)"),AND(LRTNWDA!$I$22="individu ",LRTNWDA!$E$22="National ID (Asing)"),AND(LRTNWDA!$I$22="Badan Usaha",LRTNWDA!$E$22="NPWP (Domestik)"),AND(LRTNWDA!$I$22="Badan Usaha",LRTNWDA!$E$22="Identification No./ Tax Id/Sejenis (Asing)")),TRUE,FALSE)</f>
        <v/>
      </c>
      <c r="H56" s="2" t="n"/>
    </row>
    <row r="57" ht="15.5" customHeight="1">
      <c r="B57" s="2" t="n"/>
      <c r="C57" s="10" t="n">
        <v>48</v>
      </c>
      <c r="D57" s="10" t="inlineStr">
        <is>
          <t>LRTNWDA</t>
        </is>
      </c>
      <c r="E57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57" s="10" t="inlineStr">
        <is>
          <t>=IF(OR(AND(LRTNWDA!$I$23="individu ",LRTNWDA!$E$23="NIK (Domestik)"),AND(LRTNWDA!$I$23="individu ",LRTNWDA!$E$23="National ID (Asing)"),AND(LRTNWDA!$I$23="Badan Usaha",LRTNWDA!$E$23="NPWP (Domestik)"),AND(LRTNWDA!$I$23="Badan Usaha",LRTNWDA!$E$23="Identification No./ Tax Id/Sejenis (Asing)")),TRUE,FALSE)</t>
        </is>
      </c>
      <c r="G57" s="8">
        <f>IF(OR(AND(LRTNWDA!$I$23="individu ",LRTNWDA!$E$23="NIK (Domestik)"),AND(LRTNWDA!$I$23="individu ",LRTNWDA!$E$23="National ID (Asing)"),AND(LRTNWDA!$I$23="Badan Usaha",LRTNWDA!$E$23="NPWP (Domestik)"),AND(LRTNWDA!$I$23="Badan Usaha",LRTNWDA!$E$23="Identification No./ Tax Id/Sejenis (Asing)")),TRUE,FALSE)</f>
        <v/>
      </c>
      <c r="H57" s="2" t="n"/>
    </row>
    <row r="58" ht="15.5" customHeight="1">
      <c r="B58" s="2" t="n"/>
      <c r="C58" s="10" t="n">
        <v>49</v>
      </c>
      <c r="D58" s="10" t="inlineStr">
        <is>
          <t>LRTNWDA</t>
        </is>
      </c>
      <c r="E58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58" s="10" t="inlineStr">
        <is>
          <t>=IF(OR(AND(LRTNWDA!$I$24="individu ",LRTNWDA!$E$24="NIK (Domestik)"),AND(LRTNWDA!$I$24="individu ",LRTNWDA!$E$24="National ID (Asing)"),AND(LRTNWDA!$I$24="Badan Usaha",LRTNWDA!$E$24="NPWP (Domestik)"),AND(LRTNWDA!$I$24="Badan Usaha",LRTNWDA!$E$24="Identification No./ Tax Id/Sejenis (Asing)")),TRUE,FALSE)</t>
        </is>
      </c>
      <c r="G58" s="8">
        <f>IF(OR(AND(LRTNWDA!$I$24="individu ",LRTNWDA!$E$24="NIK (Domestik)"),AND(LRTNWDA!$I$24="individu ",LRTNWDA!$E$24="National ID (Asing)"),AND(LRTNWDA!$I$24="Badan Usaha",LRTNWDA!$E$24="NPWP (Domestik)"),AND(LRTNWDA!$I$24="Badan Usaha",LRTNWDA!$E$24="Identification No./ Tax Id/Sejenis (Asing)")),TRUE,FALSE)</f>
        <v/>
      </c>
      <c r="H58" s="2" t="n"/>
    </row>
    <row r="59" ht="15.5" customHeight="1">
      <c r="B59" s="2" t="n"/>
      <c r="C59" s="10" t="n">
        <v>50</v>
      </c>
      <c r="D59" s="10" t="inlineStr">
        <is>
          <t>LRTNWDA</t>
        </is>
      </c>
      <c r="E59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59" s="10" t="inlineStr">
        <is>
          <t>=IF(OR(AND(LRTNWDA!$I$25="individu ",LRTNWDA!$E$25="NIK (Domestik)"),AND(LRTNWDA!$I$25="individu ",LRTNWDA!$E$25="National ID (Asing)"),AND(LRTNWDA!$I$25="Badan Usaha",LRTNWDA!$E$25="NPWP (Domestik)"),AND(LRTNWDA!$I$25="Badan Usaha",LRTNWDA!$E$25="Identification No./ Tax Id/Sejenis (Asing)")),TRUE,FALSE)</t>
        </is>
      </c>
      <c r="G59" s="8">
        <f>IF(OR(AND(LRTNWDA!$I$25="individu ",LRTNWDA!$E$25="NIK (Domestik)"),AND(LRTNWDA!$I$25="individu ",LRTNWDA!$E$25="National ID (Asing)"),AND(LRTNWDA!$I$25="Badan Usaha",LRTNWDA!$E$25="NPWP (Domestik)"),AND(LRTNWDA!$I$25="Badan Usaha",LRTNWDA!$E$25="Identification No./ Tax Id/Sejenis (Asing)")),TRUE,FALSE)</f>
        <v/>
      </c>
      <c r="H59" s="2" t="n"/>
    </row>
    <row r="60" ht="15.5" customHeight="1">
      <c r="B60" s="2" t="n"/>
      <c r="C60" s="10" t="n">
        <v>51</v>
      </c>
      <c r="D60" s="10" t="inlineStr">
        <is>
          <t>LRTNWDA</t>
        </is>
      </c>
      <c r="E60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60" s="10" t="inlineStr">
        <is>
          <t>=IF(OR(AND(LRTNWDA!$I$26="individu ",LRTNWDA!$E$26="NIK (Domestik)"),AND(LRTNWDA!$I$26="individu ",LRTNWDA!$E$26="National ID (Asing)"),AND(LRTNWDA!$I$26="Badan Usaha",LRTNWDA!$E$26="NPWP (Domestik)"),AND(LRTNWDA!$I$26="Badan Usaha",LRTNWDA!$E$26="Identification No./ Tax Id/Sejenis (Asing)")),TRUE,FALSE)</t>
        </is>
      </c>
      <c r="G60" s="8">
        <f>IF(OR(AND(LRTNWDA!$I$26="individu ",LRTNWDA!$E$26="NIK (Domestik)"),AND(LRTNWDA!$I$26="individu ",LRTNWDA!$E$26="National ID (Asing)"),AND(LRTNWDA!$I$26="Badan Usaha",LRTNWDA!$E$26="NPWP (Domestik)"),AND(LRTNWDA!$I$26="Badan Usaha",LRTNWDA!$E$26="Identification No./ Tax Id/Sejenis (Asing)")),TRUE,FALSE)</f>
        <v/>
      </c>
      <c r="H60" s="2" t="n"/>
    </row>
    <row r="61" ht="15.5" customHeight="1">
      <c r="B61" s="2" t="n"/>
      <c r="C61" s="10" t="n">
        <v>52</v>
      </c>
      <c r="D61" s="10" t="inlineStr">
        <is>
          <t>LRTNWDA</t>
        </is>
      </c>
      <c r="E61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61" s="10" t="inlineStr">
        <is>
          <t>=IF(OR(AND(LRTNWDA!$I$27="individu ",LRTNWDA!$E$27="NIK (Domestik)"),AND(LRTNWDA!$I$27="individu ",LRTNWDA!$E$27="National ID (Asing)"),AND(LRTNWDA!$I$27="Badan Usaha",LRTNWDA!$E$27="NPWP (Domestik)"),AND(LRTNWDA!$I$27="Badan Usaha",LRTNWDA!$E$27="Identification No./ Tax Id/Sejenis (Asing)")),TRUE,FALSE)</t>
        </is>
      </c>
      <c r="G61" s="8">
        <f>IF(OR(AND(LRTNWDA!$I$27="individu ",LRTNWDA!$E$27="NIK (Domestik)"),AND(LRTNWDA!$I$27="individu ",LRTNWDA!$E$27="National ID (Asing)"),AND(LRTNWDA!$I$27="Badan Usaha",LRTNWDA!$E$27="NPWP (Domestik)"),AND(LRTNWDA!$I$27="Badan Usaha",LRTNWDA!$E$27="Identification No./ Tax Id/Sejenis (Asing)")),TRUE,FALSE)</f>
        <v/>
      </c>
      <c r="H61" s="2" t="n"/>
    </row>
    <row r="62" ht="15.5" customHeight="1">
      <c r="B62" s="2" t="n"/>
      <c r="C62" s="10" t="n">
        <v>53</v>
      </c>
      <c r="D62" s="10" t="inlineStr">
        <is>
          <t>LRTNWDA</t>
        </is>
      </c>
      <c r="E62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62" s="10" t="inlineStr">
        <is>
          <t>=IF(OR(AND(LRTNWDA!$I$28="individu ",LRTNWDA!$E$28="NIK (Domestik)"),AND(LRTNWDA!$I$28="individu ",LRTNWDA!$E$28="National ID (Asing)"),AND(LRTNWDA!$I$28="Badan Usaha",LRTNWDA!$E$28="NPWP (Domestik)"),AND(LRTNWDA!$I$28="Badan Usaha",LRTNWDA!$E$28="Identification No./ Tax Id/Sejenis (Asing)")),TRUE,FALSE)</t>
        </is>
      </c>
      <c r="G62" s="8">
        <f>IF(OR(AND(LRTNWDA!$I$28="individu ",LRTNWDA!$E$28="NIK (Domestik)"),AND(LRTNWDA!$I$28="individu ",LRTNWDA!$E$28="National ID (Asing)"),AND(LRTNWDA!$I$28="Badan Usaha",LRTNWDA!$E$28="NPWP (Domestik)"),AND(LRTNWDA!$I$28="Badan Usaha",LRTNWDA!$E$28="Identification No./ Tax Id/Sejenis (Asing)")),TRUE,FALSE)</f>
        <v/>
      </c>
      <c r="H62" s="2" t="n"/>
    </row>
    <row r="63" ht="15.5" customHeight="1">
      <c r="B63" s="2" t="n"/>
      <c r="C63" s="10" t="n">
        <v>54</v>
      </c>
      <c r="D63" s="10" t="inlineStr">
        <is>
          <t>LRTNWDA</t>
        </is>
      </c>
      <c r="E63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63" s="10" t="inlineStr">
        <is>
          <t>=IF(OR(AND(LRTNWDA!$I$29="individu ",LRTNWDA!$E$29="NIK (Domestik)"),AND(LRTNWDA!$I$29="individu ",LRTNWDA!$E$29="National ID (Asing)"),AND(LRTNWDA!$I$29="Badan Usaha",LRTNWDA!$E$29="NPWP (Domestik)"),AND(LRTNWDA!$I$29="Badan Usaha",LRTNWDA!$E$29="Identification No./ Tax Id/Sejenis (Asing)")),TRUE,FALSE)</t>
        </is>
      </c>
      <c r="G63" s="8">
        <f>IF(OR(AND(LRTNWDA!$I$29="individu ",LRTNWDA!$E$29="NIK (Domestik)"),AND(LRTNWDA!$I$29="individu ",LRTNWDA!$E$29="National ID (Asing)"),AND(LRTNWDA!$I$29="Badan Usaha",LRTNWDA!$E$29="NPWP (Domestik)"),AND(LRTNWDA!$I$29="Badan Usaha",LRTNWDA!$E$29="Identification No./ Tax Id/Sejenis (Asing)")),TRUE,FALSE)</f>
        <v/>
      </c>
      <c r="H63" s="2" t="n"/>
    </row>
    <row r="64" ht="15.5" customHeight="1">
      <c r="B64" s="2" t="n"/>
      <c r="C64" s="10" t="n">
        <v>55</v>
      </c>
      <c r="D64" s="10" t="inlineStr">
        <is>
          <t>LRTNWDA</t>
        </is>
      </c>
      <c r="E64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64" s="10" t="inlineStr">
        <is>
          <t>=IF(OR(AND(LRTNWDA!$I$30="individu ",LRTNWDA!$E$30="NIK (Domestik)"),AND(LRTNWDA!$I$30="individu ",LRTNWDA!$E$30="National ID (Asing)"),AND(LRTNWDA!$I$30="Badan Usaha",LRTNWDA!$E$30="NPWP (Domestik)"),AND(LRTNWDA!$I$30="Badan Usaha",LRTNWDA!$E$30="Identification No./ Tax Id/Sejenis (Asing)")),TRUE,FALSE)</t>
        </is>
      </c>
      <c r="G64" s="8">
        <f>IF(OR(AND(LRTNWDA!$I$30="individu ",LRTNWDA!$E$30="NIK (Domestik)"),AND(LRTNWDA!$I$30="individu ",LRTNWDA!$E$30="National ID (Asing)"),AND(LRTNWDA!$I$30="Badan Usaha",LRTNWDA!$E$30="NPWP (Domestik)"),AND(LRTNWDA!$I$30="Badan Usaha",LRTNWDA!$E$30="Identification No./ Tax Id/Sejenis (Asing)")),TRUE,FALSE)</f>
        <v/>
      </c>
      <c r="H64" s="2" t="n"/>
    </row>
    <row r="65" ht="15.5" customHeight="1">
      <c r="B65" s="2" t="n"/>
      <c r="C65" s="10" t="n">
        <v>56</v>
      </c>
      <c r="D65" s="10" t="inlineStr">
        <is>
          <t>LRTNWDA</t>
        </is>
      </c>
      <c r="E65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65" s="10" t="inlineStr">
        <is>
          <t>=IF(OR(AND(LRTNWDA!$I$31="individu ",LRTNWDA!$E$31="NIK (Domestik)"),AND(LRTNWDA!$I$31="individu ",LRTNWDA!$E$31="National ID (Asing)"),AND(LRTNWDA!$I$31="Badan Usaha",LRTNWDA!$E$31="NPWP (Domestik)"),AND(LRTNWDA!$I$31="Badan Usaha",LRTNWDA!$E$31="Identification No./ Tax Id/Sejenis (Asing)")),TRUE,FALSE)</t>
        </is>
      </c>
      <c r="G65" s="8">
        <f>IF(OR(AND(LRTNWDA!$I$31="individu ",LRTNWDA!$E$31="NIK (Domestik)"),AND(LRTNWDA!$I$31="individu ",LRTNWDA!$E$31="National ID (Asing)"),AND(LRTNWDA!$I$31="Badan Usaha",LRTNWDA!$E$31="NPWP (Domestik)"),AND(LRTNWDA!$I$31="Badan Usaha",LRTNWDA!$E$31="Identification No./ Tax Id/Sejenis (Asing)")),TRUE,FALSE)</f>
        <v/>
      </c>
      <c r="H65" s="2" t="n"/>
    </row>
    <row r="66" ht="15.5" customHeight="1">
      <c r="B66" s="2" t="n"/>
      <c r="C66" s="10" t="n">
        <v>57</v>
      </c>
      <c r="D66" s="10" t="inlineStr">
        <is>
          <t>LRTNWDA</t>
        </is>
      </c>
      <c r="E66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66" s="10" t="inlineStr">
        <is>
          <t>=IF(OR(AND(LRTNWDA!$I$32="individu ",LRTNWDA!$E$32="NIK (Domestik)"),AND(LRTNWDA!$I$32="individu ",LRTNWDA!$E$32="National ID (Asing)"),AND(LRTNWDA!$I$32="Badan Usaha",LRTNWDA!$E$32="NPWP (Domestik)"),AND(LRTNWDA!$I$32="Badan Usaha",LRTNWDA!$E$32="Identification No./ Tax Id/Sejenis (Asing)")),TRUE,FALSE)</t>
        </is>
      </c>
      <c r="G66" s="8">
        <f>IF(OR(AND(LRTNWDA!$I$32="individu ",LRTNWDA!$E$32="NIK (Domestik)"),AND(LRTNWDA!$I$32="individu ",LRTNWDA!$E$32="National ID (Asing)"),AND(LRTNWDA!$I$32="Badan Usaha",LRTNWDA!$E$32="NPWP (Domestik)"),AND(LRTNWDA!$I$32="Badan Usaha",LRTNWDA!$E$32="Identification No./ Tax Id/Sejenis (Asing)")),TRUE,FALSE)</f>
        <v/>
      </c>
      <c r="H66" s="2" t="n"/>
    </row>
    <row r="67" ht="15.5" customHeight="1">
      <c r="B67" s="2" t="n"/>
      <c r="C67" s="10" t="n">
        <v>58</v>
      </c>
      <c r="D67" s="10" t="inlineStr">
        <is>
          <t>LRTNWDA</t>
        </is>
      </c>
      <c r="E67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67" s="10" t="inlineStr">
        <is>
          <t>=IF(OR(AND(LRTNWDA!$I$33="individu ",LRTNWDA!$E$33="NIK (Domestik)"),AND(LRTNWDA!$I$33="individu ",LRTNWDA!$E$33="National ID (Asing)"),AND(LRTNWDA!$I$33="Badan Usaha",LRTNWDA!$E$33="NPWP (Domestik)"),AND(LRTNWDA!$I$33="Badan Usaha",LRTNWDA!$E$33="Identification No./ Tax Id/Sejenis (Asing)")),TRUE,FALSE)</t>
        </is>
      </c>
      <c r="G67" s="8">
        <f>IF(OR(AND(LRTNWDA!$I$33="individu ",LRTNWDA!$E$33="NIK (Domestik)"),AND(LRTNWDA!$I$33="individu ",LRTNWDA!$E$33="National ID (Asing)"),AND(LRTNWDA!$I$33="Badan Usaha",LRTNWDA!$E$33="NPWP (Domestik)"),AND(LRTNWDA!$I$33="Badan Usaha",LRTNWDA!$E$33="Identification No./ Tax Id/Sejenis (Asing)")),TRUE,FALSE)</f>
        <v/>
      </c>
      <c r="H67" s="2" t="n"/>
    </row>
    <row r="68" ht="15.5" customHeight="1">
      <c r="B68" s="2" t="n"/>
      <c r="C68" s="10" t="n">
        <v>59</v>
      </c>
      <c r="D68" s="10" t="inlineStr">
        <is>
          <t>LRTNWDA</t>
        </is>
      </c>
      <c r="E68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68" s="10" t="inlineStr">
        <is>
          <t>=IF(OR(AND(LRTNWDA!$I$34="individu ",LRTNWDA!$E$34="NIK (Domestik)"),AND(LRTNWDA!$I$34="individu ",LRTNWDA!$E$34="National ID (Asing)"),AND(LRTNWDA!$I$34="Badan Usaha",LRTNWDA!$E$34="NPWP (Domestik)"),AND(LRTNWDA!$I$34="Badan Usaha",LRTNWDA!$E$34="Identification No./ Tax Id/Sejenis (Asing)")),TRUE,FALSE)</t>
        </is>
      </c>
      <c r="G68" s="8">
        <f>IF(OR(AND(LRTNWDA!$I$34="individu ",LRTNWDA!$E$34="NIK (Domestik)"),AND(LRTNWDA!$I$34="individu ",LRTNWDA!$E$34="National ID (Asing)"),AND(LRTNWDA!$I$34="Badan Usaha",LRTNWDA!$E$34="NPWP (Domestik)"),AND(LRTNWDA!$I$34="Badan Usaha",LRTNWDA!$E$34="Identification No./ Tax Id/Sejenis (Asing)")),TRUE,FALSE)</f>
        <v/>
      </c>
      <c r="H68" s="2" t="n"/>
    </row>
    <row r="69" ht="15.5" customHeight="1">
      <c r="B69" s="2" t="n"/>
      <c r="C69" s="10" t="n">
        <v>60</v>
      </c>
      <c r="D69" s="10" t="inlineStr">
        <is>
          <t>LRTNWDA</t>
        </is>
      </c>
      <c r="E69" s="10" t="inlineStr">
        <is>
          <t>Jika Jenis Konsumen tidak sesuai dengan Jenis Identitas yang ditentukan, di mana "Individu" hanya dapat memilih NIK/National ID dan "Badan Usaha" hanya dapat memilih NPWP/Identification No./Tax ID/Sejenis</t>
        </is>
      </c>
      <c r="F69" s="10" t="inlineStr">
        <is>
          <t>=IF(OR(AND(LRTNWDA!$I$35="individu ",LRTNWDA!$E$35="NIK (Domestik)"),AND(LRTNWDA!$I$35="individu ",LRTNWDA!$E$35="National ID (Asing)"),AND(LRTNWDA!$I$35="Badan Usaha",LRTNWDA!$E$35="NPWP (Domestik)"),AND(LRTNWDA!$I$35="Badan Usaha",LRTNWDA!$E$35="Identification No./ Tax Id/Sejenis (Asing)")),TRUE,FALSE)</t>
        </is>
      </c>
      <c r="G69" s="8">
        <f>IF(OR(AND(LRTNWDA!$I$35="individu ",LRTNWDA!$E$35="NIK (Domestik)"),AND(LRTNWDA!$I$35="individu ",LRTNWDA!$E$35="National ID (Asing)"),AND(LRTNWDA!$I$35="Badan Usaha",LRTNWDA!$E$35="NPWP (Domestik)"),AND(LRTNWDA!$I$35="Badan Usaha",LRTNWDA!$E$35="Identification No./ Tax Id/Sejenis (Asing)")),TRUE,FALSE)</f>
        <v/>
      </c>
      <c r="H69" s="2" t="n"/>
    </row>
    <row r="70">
      <c r="B70" s="2" t="n"/>
      <c r="C70" s="2" t="n"/>
      <c r="D70" s="2" t="n"/>
      <c r="E70" s="2" t="n"/>
      <c r="F70" s="2" t="n"/>
      <c r="G70" s="2" t="n"/>
      <c r="H70" s="2" t="n"/>
    </row>
    <row r="71" ht="5" customHeight="1">
      <c r="B71" s="2" t="n"/>
      <c r="C71" s="2" t="n"/>
      <c r="D71" s="2" t="n"/>
      <c r="E71" s="2" t="n"/>
      <c r="F71" s="2" t="n"/>
      <c r="G71" s="2" t="n"/>
      <c r="H71" s="2" t="n"/>
    </row>
  </sheetData>
  <sheetProtection selectLockedCells="1" selectUnlockedCells="0" algorithmName="SHA-512" sheet="1" objects="0" insertRows="1" insertHyperlinks="1" autoFilter="1" scenarios="0" formatColumns="0" deleteColumns="1" insertColumns="1" pivotTables="1" deleteRows="1" formatCells="1" saltValue="wRSDXsheGaoY8tK+equtag==" formatRows="0" sort="1" spinCount="100000" hashValue="646Yd0lZ2pX+sdwCTtVXZ03NZWQfAre6vQ1JY+w/lfMx2mdOe+mM+Caidmr4Qmzeodrk0plcmYIQ9EpvxWmjMg=="/>
  <conditionalFormatting sqref="G7">
    <cfRule type="cellIs" priority="1" operator="equal" dxfId="1">
      <formula>TRUE</formula>
    </cfRule>
    <cfRule type="cellIs" priority="2" operator="equal" dxfId="0">
      <formula>FALSE</formula>
    </cfRule>
  </conditionalFormatting>
  <conditionalFormatting sqref="G10:G69">
    <cfRule type="cellIs" priority="3" operator="equal" dxfId="1">
      <formula>TRUE</formula>
    </cfRule>
    <cfRule type="cellIs" priority="4" operator="equal" dxfId="0">
      <formula>FALSE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1"/>
  <sheetViews>
    <sheetView showGridLines="0" workbookViewId="0">
      <pane xSplit="4" ySplit="15" topLeftCell="I16" activePane="bottomRight" state="frozen"/>
      <selection pane="topRight" activeCell="E1" sqref="E1"/>
      <selection pane="bottomLeft" activeCell="A16" sqref="A16"/>
      <selection pane="bottomRight" activeCell="E16" sqref="E16:H19"/>
    </sheetView>
  </sheetViews>
  <sheetFormatPr baseColWidth="8" defaultColWidth="9.08984375" defaultRowHeight="14.5"/>
  <cols>
    <col width="9.08984375" customWidth="1" style="1" min="1" max="1"/>
    <col width="1" customWidth="1" style="1" min="2" max="2"/>
    <col width="20" customWidth="1" style="1" min="3" max="4"/>
    <col width="30" customWidth="1" style="1" min="5" max="9"/>
    <col width="1" customWidth="1" style="1" min="10" max="10"/>
    <col width="9.08984375" customWidth="1" style="1" min="11" max="11"/>
    <col width="9.08984375" customWidth="1" style="1" min="12" max="16384"/>
  </cols>
  <sheetData>
    <row r="2" ht="5" customHeight="1">
      <c r="B2" s="7" t="inlineStr">
        <is>
          <t>LKBPAKD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idden="1">
      <c r="B3" s="7" t="inlineStr">
        <is>
          <t>1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 hidden="1"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idden="1"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idden="1"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 ht="17" customHeight="1">
      <c r="B7" s="2" t="n"/>
      <c r="C7" s="27">
        <f>UPPER('Data Umum'!D7)</f>
        <v/>
      </c>
      <c r="J7" s="2" t="n"/>
    </row>
    <row r="8">
      <c r="B8" s="2" t="n"/>
      <c r="C8" s="28" t="inlineStr">
        <is>
          <t>PEDAGANG ASET KEUANGAN DIGITAL</t>
        </is>
      </c>
      <c r="J8" s="2" t="n"/>
    </row>
    <row r="9">
      <c r="B9" s="2" t="n"/>
      <c r="C9" s="28" t="inlineStr">
        <is>
          <t>Laporan Bulanan</t>
        </is>
      </c>
      <c r="J9" s="2" t="n"/>
    </row>
    <row r="10">
      <c r="B10" s="2" t="n"/>
      <c r="C10" s="28" t="inlineStr">
        <is>
          <t>Laporan Kegiatan Bulanan Pedagang</t>
        </is>
      </c>
      <c r="J10" s="2" t="n"/>
    </row>
    <row r="11">
      <c r="B11" s="2" t="n"/>
      <c r="C11" s="29">
        <f>"Per " &amp; TEXT('Data Umum'!D11, "DD-MMM-YYYY")</f>
        <v/>
      </c>
      <c r="J11" s="2" t="n"/>
    </row>
    <row r="12" hidden="1"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B13" s="2" t="n"/>
      <c r="C13" s="30" t="n"/>
      <c r="J13" s="2" t="n"/>
    </row>
    <row r="14">
      <c r="B14" s="2" t="n"/>
      <c r="C14" s="35" t="inlineStr">
        <is>
          <t>Nomor</t>
        </is>
      </c>
      <c r="D14" s="53" t="n"/>
      <c r="E14" s="35">
        <f>"Individu"</f>
        <v/>
      </c>
      <c r="F14" s="54" t="n"/>
      <c r="G14" s="35">
        <f>"Badan Usaha"</f>
        <v/>
      </c>
      <c r="H14" s="54" t="n"/>
      <c r="I14" s="35">
        <f>""</f>
        <v/>
      </c>
      <c r="J14" s="2" t="n"/>
    </row>
    <row r="15">
      <c r="B15" s="2" t="n"/>
      <c r="C15" s="55" t="n"/>
      <c r="D15" s="56" t="n"/>
      <c r="E15" s="35">
        <f>"WNI"</f>
        <v/>
      </c>
      <c r="F15" s="35">
        <f>"WNA"</f>
        <v/>
      </c>
      <c r="G15" s="35">
        <f>"Domestik"</f>
        <v/>
      </c>
      <c r="H15" s="35">
        <f>"Internasional"</f>
        <v/>
      </c>
      <c r="I15" s="35">
        <f>"Total"</f>
        <v/>
      </c>
      <c r="J15" s="2" t="n"/>
    </row>
    <row r="16">
      <c r="B16" s="2" t="n"/>
      <c r="C16" s="57" t="inlineStr">
        <is>
          <t>Jumlah Konsumen (awal bulan)</t>
        </is>
      </c>
      <c r="D16" s="54" t="n"/>
      <c r="E16" s="58" t="n">
        <v>1044622</v>
      </c>
      <c r="F16" s="58" t="n">
        <v>38</v>
      </c>
      <c r="G16" s="58" t="inlineStr">
        <is>
          <t>-</t>
        </is>
      </c>
      <c r="H16" s="58" t="inlineStr">
        <is>
          <t>-</t>
        </is>
      </c>
      <c r="I16" s="59">
        <f>SUM(E16:H16)</f>
        <v/>
      </c>
      <c r="J16" s="2" t="n"/>
    </row>
    <row r="17">
      <c r="B17" s="2" t="n"/>
      <c r="C17" s="57" t="inlineStr">
        <is>
          <t>Jumlah Penambahan Konsumen</t>
        </is>
      </c>
      <c r="D17" s="54" t="n"/>
      <c r="E17" s="58" t="n">
        <v>41522</v>
      </c>
      <c r="F17" s="58" t="inlineStr">
        <is>
          <t>-</t>
        </is>
      </c>
      <c r="G17" s="58" t="inlineStr">
        <is>
          <t>-</t>
        </is>
      </c>
      <c r="H17" s="58" t="inlineStr">
        <is>
          <t>-</t>
        </is>
      </c>
      <c r="I17" s="59">
        <f>SUM(E17:H17)</f>
        <v/>
      </c>
      <c r="J17" s="2" t="n"/>
    </row>
    <row r="18">
      <c r="B18" s="2" t="n"/>
      <c r="C18" s="57" t="inlineStr">
        <is>
          <t>Jumlah Pengurangan Konsumen</t>
        </is>
      </c>
      <c r="D18" s="54" t="n"/>
      <c r="E18" s="58" t="inlineStr">
        <is>
          <t>-</t>
        </is>
      </c>
      <c r="F18" s="58" t="inlineStr">
        <is>
          <t>-</t>
        </is>
      </c>
      <c r="G18" s="58" t="inlineStr">
        <is>
          <t>-</t>
        </is>
      </c>
      <c r="H18" s="58" t="inlineStr">
        <is>
          <t>-</t>
        </is>
      </c>
      <c r="I18" s="59">
        <f>SUM(E18:H18)</f>
        <v/>
      </c>
      <c r="J18" s="2" t="n"/>
    </row>
    <row r="19">
      <c r="B19" s="2" t="n"/>
      <c r="C19" s="57" t="inlineStr">
        <is>
          <t>Jumlah Konsumen (Akhir Bulan)</t>
        </is>
      </c>
      <c r="D19" s="54" t="n"/>
      <c r="E19" s="58" t="n">
        <v>1086144</v>
      </c>
      <c r="F19" s="58" t="n">
        <v>38</v>
      </c>
      <c r="G19" s="58" t="inlineStr">
        <is>
          <t>-</t>
        </is>
      </c>
      <c r="H19" s="58" t="inlineStr">
        <is>
          <t>-</t>
        </is>
      </c>
      <c r="I19" s="59">
        <f>SUM(E19:H19)</f>
        <v/>
      </c>
      <c r="J19" s="2" t="n"/>
    </row>
    <row r="20"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5" customHeight="1"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BBAF"/>
  <mergeCells count="19">
    <mergeCell ref="C8:I8"/>
    <mergeCell ref="C7:I7"/>
    <mergeCell ref="H15"/>
    <mergeCell ref="E14:F14"/>
    <mergeCell ref="C13:I13"/>
    <mergeCell ref="C16:D16"/>
    <mergeCell ref="I15"/>
    <mergeCell ref="F15"/>
    <mergeCell ref="G14:H14"/>
    <mergeCell ref="C14:D15"/>
    <mergeCell ref="C10:I10"/>
    <mergeCell ref="C17:D17"/>
    <mergeCell ref="C9:I9"/>
    <mergeCell ref="C19:D19"/>
    <mergeCell ref="E15"/>
    <mergeCell ref="G15"/>
    <mergeCell ref="C18:D18"/>
    <mergeCell ref="C11:I11"/>
    <mergeCell ref="I14"/>
  </mergeCells>
  <dataValidations count="1">
    <dataValidation sqref="E16:H19" showDropDown="0" showInputMessage="0" showErrorMessage="1" allowBlank="0" errorTitle="Kesalahan Jenis Data" error="Data yang dimasukkan harus berupa Angka!" type="decimal" operator="greaterThanOrEqual">
      <formula1>-1000000000000000000</formula1>
      <formula2>1000000000000000000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pane xSplit="4" ySplit="15" topLeftCell="E24" activePane="bottomRight" state="frozen"/>
      <selection pane="topRight" activeCell="E1" sqref="E1"/>
      <selection pane="bottomLeft" activeCell="A16" sqref="A16"/>
      <selection pane="bottomRight" activeCell="E35" sqref="E35"/>
    </sheetView>
  </sheetViews>
  <sheetFormatPr baseColWidth="8" defaultColWidth="9.08984375" defaultRowHeight="14.5"/>
  <cols>
    <col width="9.08984375" customWidth="1" style="1" min="1" max="1"/>
    <col width="1" customWidth="1" style="1" min="2" max="2"/>
    <col width="20" customWidth="1" style="1" min="3" max="4"/>
    <col width="30" customWidth="1" style="1" min="5" max="10"/>
    <col width="1" customWidth="1" style="1" min="11" max="11"/>
    <col width="9.08984375" customWidth="1" style="1" min="12" max="12"/>
    <col width="9.08984375" customWidth="1" style="1" min="13" max="16384"/>
  </cols>
  <sheetData>
    <row r="2" ht="5" customHeight="1">
      <c r="B2" s="7" t="inlineStr">
        <is>
          <t>LRTTHP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idden="1">
      <c r="B3" s="7" t="inlineStr">
        <is>
          <t>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idden="1"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idden="1"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idden="1"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 ht="17" customHeight="1">
      <c r="B7" s="2" t="n"/>
      <c r="C7" s="27">
        <f>UPPER('Data Umum'!D7)</f>
        <v/>
      </c>
      <c r="K7" s="2" t="n"/>
    </row>
    <row r="8">
      <c r="B8" s="2" t="n"/>
      <c r="C8" s="28" t="inlineStr">
        <is>
          <t>PEDAGANG ASET KEUANGAN DIGITAL</t>
        </is>
      </c>
      <c r="K8" s="2" t="n"/>
    </row>
    <row r="9">
      <c r="B9" s="2" t="n"/>
      <c r="C9" s="28" t="inlineStr">
        <is>
          <t>Laporan Bulanan</t>
        </is>
      </c>
      <c r="K9" s="2" t="n"/>
    </row>
    <row r="10">
      <c r="B10" s="2" t="n"/>
      <c r="C10" s="28" t="inlineStr">
        <is>
          <t>Rekapitulasi Top 20 Konsumen Berdasarkan Nilai Transaksi Harian Per Pedagang</t>
        </is>
      </c>
      <c r="K10" s="2" t="n"/>
    </row>
    <row r="11">
      <c r="B11" s="2" t="n"/>
      <c r="C11" s="29">
        <f>"Per " &amp; TEXT('Data Umum'!D11, "DD-MMM-YYYY")</f>
        <v/>
      </c>
      <c r="K11" s="2" t="n"/>
    </row>
    <row r="12" hidden="1"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B13" s="2" t="n"/>
      <c r="C13" s="30" t="n"/>
      <c r="K13" s="2" t="n"/>
    </row>
    <row r="14">
      <c r="B14" s="2" t="n"/>
      <c r="C14" s="35" t="inlineStr">
        <is>
          <t>Nomor</t>
        </is>
      </c>
      <c r="D14" s="53" t="n"/>
      <c r="E14" s="35">
        <f>"Jenis Identitas"</f>
        <v/>
      </c>
      <c r="F14" s="35">
        <f>"No Identitas"</f>
        <v/>
      </c>
      <c r="G14" s="35">
        <f>"Nama"</f>
        <v/>
      </c>
      <c r="H14" s="35">
        <f>"Kategori Konsumen"</f>
        <v/>
      </c>
      <c r="I14" s="35">
        <f>"Jenis Konsumen"</f>
        <v/>
      </c>
      <c r="J14" s="35">
        <f>"Nilai Transaksi* (Rp)"</f>
        <v/>
      </c>
      <c r="K14" s="2" t="n"/>
    </row>
    <row r="15">
      <c r="B15" s="2" t="n"/>
      <c r="C15" s="55" t="n"/>
      <c r="D15" s="56" t="n"/>
      <c r="E15" s="60" t="n"/>
      <c r="F15" s="60" t="n"/>
      <c r="G15" s="60" t="n"/>
      <c r="H15" s="60" t="n"/>
      <c r="I15" s="60" t="n"/>
      <c r="J15" s="60" t="n"/>
      <c r="K15" s="2" t="n"/>
    </row>
    <row r="16">
      <c r="B16" s="2" t="n"/>
      <c r="C16" s="57" t="inlineStr">
        <is>
          <t>1</t>
        </is>
      </c>
      <c r="D16" s="54" t="n"/>
      <c r="E16" s="15" t="inlineStr">
        <is>
          <t>NIK (Domestik)</t>
        </is>
      </c>
      <c r="F16" s="19" t="inlineStr">
        <is>
          <t>3273030510730006</t>
        </is>
      </c>
      <c r="G16" s="15" t="inlineStr">
        <is>
          <t>UNTUNG SETIAWAN</t>
        </is>
      </c>
      <c r="H16" s="15" t="inlineStr">
        <is>
          <t>Domestik</t>
        </is>
      </c>
      <c r="I16" s="15" t="inlineStr">
        <is>
          <t xml:space="preserve">Individu </t>
        </is>
      </c>
      <c r="J16" s="61" t="n">
        <v>4858038006.23266</v>
      </c>
      <c r="K16" s="2" t="n"/>
    </row>
    <row r="17">
      <c r="B17" s="2" t="n"/>
      <c r="C17" s="57" t="inlineStr">
        <is>
          <t>2</t>
        </is>
      </c>
      <c r="D17" s="54" t="n"/>
      <c r="E17" s="15" t="inlineStr">
        <is>
          <t>NIK (Domestik)</t>
        </is>
      </c>
      <c r="F17" s="19" t="inlineStr">
        <is>
          <t>3273034112820002</t>
        </is>
      </c>
      <c r="G17" s="15" t="inlineStr">
        <is>
          <t>SRI WIDIANTI</t>
        </is>
      </c>
      <c r="H17" s="15" t="inlineStr">
        <is>
          <t>Domestik</t>
        </is>
      </c>
      <c r="I17" s="15" t="inlineStr">
        <is>
          <t xml:space="preserve">Individu </t>
        </is>
      </c>
      <c r="J17" s="61" t="n">
        <v>4414677221.53296</v>
      </c>
      <c r="K17" s="2" t="n"/>
    </row>
    <row r="18">
      <c r="B18" s="2" t="n"/>
      <c r="C18" s="57" t="inlineStr">
        <is>
          <t>3</t>
        </is>
      </c>
      <c r="D18" s="54" t="n"/>
      <c r="E18" s="15" t="inlineStr">
        <is>
          <t>NIK (Domestik)</t>
        </is>
      </c>
      <c r="F18" s="19" t="inlineStr">
        <is>
          <t>3505171011890004</t>
        </is>
      </c>
      <c r="G18" s="15" t="inlineStr">
        <is>
          <t>RONNY DALTON</t>
        </is>
      </c>
      <c r="H18" s="15" t="inlineStr">
        <is>
          <t>Domestik</t>
        </is>
      </c>
      <c r="I18" s="15" t="inlineStr">
        <is>
          <t xml:space="preserve">Individu </t>
        </is>
      </c>
      <c r="J18" s="61" t="n">
        <v>3579502786.47811</v>
      </c>
      <c r="K18" s="2" t="n"/>
    </row>
    <row r="19">
      <c r="B19" s="2" t="n"/>
      <c r="C19" s="57" t="inlineStr">
        <is>
          <t>4</t>
        </is>
      </c>
      <c r="D19" s="54" t="n"/>
      <c r="E19" s="15" t="inlineStr">
        <is>
          <t>NIK (Domestik)</t>
        </is>
      </c>
      <c r="F19" s="19" t="inlineStr">
        <is>
          <t>3604012212740033</t>
        </is>
      </c>
      <c r="G19" s="15" t="inlineStr">
        <is>
          <t>MOHAMMAD NURKHOLIK</t>
        </is>
      </c>
      <c r="H19" s="15" t="inlineStr">
        <is>
          <t>Domestik</t>
        </is>
      </c>
      <c r="I19" s="15" t="inlineStr">
        <is>
          <t xml:space="preserve">Individu </t>
        </is>
      </c>
      <c r="J19" s="61" t="n">
        <v>3009275331.80373</v>
      </c>
      <c r="K19" s="2" t="n"/>
    </row>
    <row r="20">
      <c r="B20" s="2" t="n"/>
      <c r="C20" s="57" t="inlineStr">
        <is>
          <t>5</t>
        </is>
      </c>
      <c r="D20" s="54" t="n"/>
      <c r="E20" s="15" t="inlineStr">
        <is>
          <t>NIK (Domestik)</t>
        </is>
      </c>
      <c r="F20" s="19" t="inlineStr">
        <is>
          <t>3323091012750001</t>
        </is>
      </c>
      <c r="G20" s="15" t="inlineStr">
        <is>
          <t>DWI HANUNG PRASETYO</t>
        </is>
      </c>
      <c r="H20" s="15" t="inlineStr">
        <is>
          <t>Domestik</t>
        </is>
      </c>
      <c r="I20" s="15" t="inlineStr">
        <is>
          <t xml:space="preserve">Individu </t>
        </is>
      </c>
      <c r="J20" s="61" t="n">
        <v>1731384248.51598</v>
      </c>
      <c r="K20" s="2" t="n"/>
    </row>
    <row r="21">
      <c r="B21" s="2" t="n"/>
      <c r="C21" s="57" t="inlineStr">
        <is>
          <t>6</t>
        </is>
      </c>
      <c r="D21" s="54" t="n"/>
      <c r="E21" s="15" t="inlineStr">
        <is>
          <t>NIK (Domestik)</t>
        </is>
      </c>
      <c r="F21" s="19" t="inlineStr">
        <is>
          <t>3273037108930004</t>
        </is>
      </c>
      <c r="G21" s="15" t="inlineStr">
        <is>
          <t>RISKA KOMALA SARI</t>
        </is>
      </c>
      <c r="H21" s="15" t="inlineStr">
        <is>
          <t>Domestik</t>
        </is>
      </c>
      <c r="I21" s="15" t="inlineStr">
        <is>
          <t xml:space="preserve">Individu </t>
        </is>
      </c>
      <c r="J21" s="61" t="n">
        <v>1730605853.60314</v>
      </c>
      <c r="K21" s="2" t="n"/>
    </row>
    <row r="22">
      <c r="B22" s="2" t="n"/>
      <c r="C22" s="57" t="inlineStr">
        <is>
          <t>7</t>
        </is>
      </c>
      <c r="D22" s="54" t="n"/>
      <c r="E22" s="15" t="inlineStr">
        <is>
          <t>NIK (Domestik)</t>
        </is>
      </c>
      <c r="F22" s="19" t="inlineStr">
        <is>
          <t>3215033010720002</t>
        </is>
      </c>
      <c r="G22" s="15" t="inlineStr">
        <is>
          <t>SUBCHAN, SPD</t>
        </is>
      </c>
      <c r="H22" s="15" t="inlineStr">
        <is>
          <t>Domestik</t>
        </is>
      </c>
      <c r="I22" s="15" t="inlineStr">
        <is>
          <t xml:space="preserve">Individu </t>
        </is>
      </c>
      <c r="J22" s="61" t="n">
        <v>1647262408.57041</v>
      </c>
      <c r="K22" s="2" t="n"/>
    </row>
    <row r="23">
      <c r="B23" s="2" t="n"/>
      <c r="C23" s="57" t="inlineStr">
        <is>
          <t>8</t>
        </is>
      </c>
      <c r="D23" s="54" t="n"/>
      <c r="E23" s="15" t="inlineStr">
        <is>
          <t>NIK (Domestik)</t>
        </is>
      </c>
      <c r="F23" s="19" t="inlineStr">
        <is>
          <t>3173061411790007</t>
        </is>
      </c>
      <c r="G23" s="15" t="inlineStr">
        <is>
          <t>MARCELL WILLIAM</t>
        </is>
      </c>
      <c r="H23" s="15" t="inlineStr">
        <is>
          <t>Domestik</t>
        </is>
      </c>
      <c r="I23" s="15" t="inlineStr">
        <is>
          <t xml:space="preserve">Individu </t>
        </is>
      </c>
      <c r="J23" s="61" t="n">
        <v>1505175599.72251</v>
      </c>
      <c r="K23" s="2" t="n"/>
    </row>
    <row r="24">
      <c r="B24" s="2" t="n"/>
      <c r="C24" s="57" t="inlineStr">
        <is>
          <t>9</t>
        </is>
      </c>
      <c r="D24" s="54" t="n"/>
      <c r="E24" s="15" t="inlineStr">
        <is>
          <t>NIK (Domestik)</t>
        </is>
      </c>
      <c r="F24" s="19" t="inlineStr">
        <is>
          <t>5171015409740004</t>
        </is>
      </c>
      <c r="G24" s="15" t="inlineStr">
        <is>
          <t>PUTU HERLINA</t>
        </is>
      </c>
      <c r="H24" s="15" t="inlineStr">
        <is>
          <t>Domestik</t>
        </is>
      </c>
      <c r="I24" s="15" t="inlineStr">
        <is>
          <t xml:space="preserve">Individu </t>
        </is>
      </c>
      <c r="J24" s="61" t="n">
        <v>1435276234.01959</v>
      </c>
      <c r="K24" s="2" t="n"/>
    </row>
    <row r="25">
      <c r="B25" s="2" t="n"/>
      <c r="C25" s="57" t="inlineStr">
        <is>
          <t>10</t>
        </is>
      </c>
      <c r="D25" s="54" t="n"/>
      <c r="E25" s="15" t="inlineStr">
        <is>
          <t>NIK (Domestik)</t>
        </is>
      </c>
      <c r="F25" s="19" t="inlineStr">
        <is>
          <t>3174020109730006</t>
        </is>
      </c>
      <c r="G25" s="15" t="inlineStr">
        <is>
          <t>ARIEF BUDIANTO</t>
        </is>
      </c>
      <c r="H25" s="15" t="inlineStr">
        <is>
          <t>Domestik</t>
        </is>
      </c>
      <c r="I25" s="15" t="inlineStr">
        <is>
          <t xml:space="preserve">Individu </t>
        </is>
      </c>
      <c r="J25" s="61" t="n">
        <v>1260707016.73579</v>
      </c>
      <c r="K25" s="2" t="n"/>
    </row>
    <row r="26">
      <c r="B26" s="2" t="n"/>
      <c r="C26" s="57" t="inlineStr">
        <is>
          <t>11</t>
        </is>
      </c>
      <c r="D26" s="54" t="n"/>
      <c r="E26" s="15" t="inlineStr">
        <is>
          <t>NIK (Domestik)</t>
        </is>
      </c>
      <c r="F26" s="19" t="inlineStr">
        <is>
          <t>3175010211800003</t>
        </is>
      </c>
      <c r="G26" s="15" t="inlineStr">
        <is>
          <t>WIRYANTO WIJAYA</t>
        </is>
      </c>
      <c r="H26" s="15" t="inlineStr">
        <is>
          <t>Domestik</t>
        </is>
      </c>
      <c r="I26" s="15" t="inlineStr">
        <is>
          <t xml:space="preserve">Individu </t>
        </is>
      </c>
      <c r="J26" s="61" t="n">
        <v>1161584526.75255</v>
      </c>
      <c r="K26" s="2" t="n"/>
    </row>
    <row r="27">
      <c r="B27" s="2" t="n"/>
      <c r="C27" s="57" t="inlineStr">
        <is>
          <t>12</t>
        </is>
      </c>
      <c r="D27" s="54" t="n"/>
      <c r="E27" s="15" t="inlineStr">
        <is>
          <t>NIK (Domestik)</t>
        </is>
      </c>
      <c r="F27" s="19" t="inlineStr">
        <is>
          <t>3671054807750010</t>
        </is>
      </c>
      <c r="G27" s="15" t="inlineStr">
        <is>
          <t>SURIATI</t>
        </is>
      </c>
      <c r="H27" s="15" t="inlineStr">
        <is>
          <t>Domestik</t>
        </is>
      </c>
      <c r="I27" s="15" t="inlineStr">
        <is>
          <t xml:space="preserve">Individu </t>
        </is>
      </c>
      <c r="J27" s="61" t="n">
        <v>1147714191.11508</v>
      </c>
      <c r="K27" s="2" t="n"/>
    </row>
    <row r="28">
      <c r="B28" s="2" t="n"/>
      <c r="C28" s="57" t="inlineStr">
        <is>
          <t>13</t>
        </is>
      </c>
      <c r="D28" s="54" t="n"/>
      <c r="E28" s="15" t="inlineStr">
        <is>
          <t>NIK (Domestik)</t>
        </is>
      </c>
      <c r="F28" s="19" t="inlineStr">
        <is>
          <t>3171020710810005</t>
        </is>
      </c>
      <c r="G28" s="15" t="inlineStr">
        <is>
          <t>TJHEN SHU WEI</t>
        </is>
      </c>
      <c r="H28" s="15" t="inlineStr">
        <is>
          <t>Domestik</t>
        </is>
      </c>
      <c r="I28" s="15" t="inlineStr">
        <is>
          <t xml:space="preserve">Individu </t>
        </is>
      </c>
      <c r="J28" s="61" t="n">
        <v>1053001754.72588</v>
      </c>
      <c r="K28" s="2" t="n"/>
    </row>
    <row r="29">
      <c r="B29" s="2" t="n"/>
      <c r="C29" s="57" t="inlineStr">
        <is>
          <t>14</t>
        </is>
      </c>
      <c r="D29" s="54" t="n"/>
      <c r="E29" s="15" t="inlineStr">
        <is>
          <t>NIK (Domestik)</t>
        </is>
      </c>
      <c r="F29" s="19" t="inlineStr">
        <is>
          <t>1271194808830002</t>
        </is>
      </c>
      <c r="G29" s="15" t="inlineStr">
        <is>
          <t>YENNY INDRAWATY</t>
        </is>
      </c>
      <c r="H29" s="15" t="inlineStr">
        <is>
          <t>Domestik</t>
        </is>
      </c>
      <c r="I29" s="15" t="inlineStr">
        <is>
          <t xml:space="preserve">Individu </t>
        </is>
      </c>
      <c r="J29" s="61" t="n">
        <v>1046321993.96184</v>
      </c>
      <c r="K29" s="2" t="n"/>
    </row>
    <row r="30">
      <c r="B30" s="2" t="n"/>
      <c r="C30" s="57" t="inlineStr">
        <is>
          <t>15</t>
        </is>
      </c>
      <c r="D30" s="54" t="n"/>
      <c r="E30" s="15" t="inlineStr">
        <is>
          <t>NIK (Domestik)</t>
        </is>
      </c>
      <c r="F30" s="19" t="inlineStr">
        <is>
          <t>1271095112950007</t>
        </is>
      </c>
      <c r="G30" s="15" t="inlineStr">
        <is>
          <t>YANTI OSAKA</t>
        </is>
      </c>
      <c r="H30" s="15" t="inlineStr">
        <is>
          <t>Domestik</t>
        </is>
      </c>
      <c r="I30" s="15" t="inlineStr">
        <is>
          <t xml:space="preserve">Individu </t>
        </is>
      </c>
      <c r="J30" s="61" t="n">
        <v>1001543435.15878</v>
      </c>
      <c r="K30" s="2" t="n"/>
    </row>
    <row r="31">
      <c r="B31" s="2" t="n"/>
      <c r="C31" s="57" t="inlineStr">
        <is>
          <t>16</t>
        </is>
      </c>
      <c r="D31" s="54" t="n"/>
      <c r="E31" s="15" t="inlineStr">
        <is>
          <t>NIK (Domestik)</t>
        </is>
      </c>
      <c r="F31" s="19" t="inlineStr">
        <is>
          <t>1171020905880002</t>
        </is>
      </c>
      <c r="G31" s="15" t="inlineStr">
        <is>
          <t>RANDY REDHANA SUHENDA</t>
        </is>
      </c>
      <c r="H31" s="15" t="inlineStr">
        <is>
          <t>Domestik</t>
        </is>
      </c>
      <c r="I31" s="15" t="inlineStr">
        <is>
          <t xml:space="preserve">Individu </t>
        </is>
      </c>
      <c r="J31" s="61" t="n">
        <v>983250672.5559601</v>
      </c>
      <c r="K31" s="2" t="n"/>
    </row>
    <row r="32">
      <c r="B32" s="2" t="n"/>
      <c r="C32" s="57" t="inlineStr">
        <is>
          <t>17</t>
        </is>
      </c>
      <c r="D32" s="54" t="n"/>
      <c r="E32" s="15" t="inlineStr">
        <is>
          <t>NIK (Domestik)</t>
        </is>
      </c>
      <c r="F32" s="19" t="inlineStr">
        <is>
          <t>3374021502830001</t>
        </is>
      </c>
      <c r="G32" s="15" t="inlineStr">
        <is>
          <t>HADI CHANDRA</t>
        </is>
      </c>
      <c r="H32" s="15" t="inlineStr">
        <is>
          <t>Domestik</t>
        </is>
      </c>
      <c r="I32" s="15" t="inlineStr">
        <is>
          <t xml:space="preserve">Individu </t>
        </is>
      </c>
      <c r="J32" s="61" t="n">
        <v>965957615.711143</v>
      </c>
      <c r="K32" s="2" t="n"/>
    </row>
    <row r="33">
      <c r="B33" s="2" t="n"/>
      <c r="C33" s="57" t="inlineStr">
        <is>
          <t>18</t>
        </is>
      </c>
      <c r="D33" s="54" t="n"/>
      <c r="E33" s="15" t="inlineStr">
        <is>
          <t>NIK (Domestik)</t>
        </is>
      </c>
      <c r="F33" s="19" t="inlineStr">
        <is>
          <t>3173040806830005</t>
        </is>
      </c>
      <c r="G33" s="15" t="inlineStr">
        <is>
          <t>JOHAN CHANDRA</t>
        </is>
      </c>
      <c r="H33" s="15" t="inlineStr">
        <is>
          <t>Domestik</t>
        </is>
      </c>
      <c r="I33" s="15" t="inlineStr">
        <is>
          <t xml:space="preserve">Individu </t>
        </is>
      </c>
      <c r="J33" s="61" t="n">
        <v>892778256.235303</v>
      </c>
      <c r="K33" s="2" t="n"/>
    </row>
    <row r="34">
      <c r="B34" s="2" t="n"/>
      <c r="C34" s="57" t="inlineStr">
        <is>
          <t>19</t>
        </is>
      </c>
      <c r="D34" s="54" t="n"/>
      <c r="E34" s="15" t="inlineStr">
        <is>
          <t>NIK (Domestik)</t>
        </is>
      </c>
      <c r="F34" s="19" t="inlineStr">
        <is>
          <t>1401111802940002</t>
        </is>
      </c>
      <c r="G34" s="15" t="inlineStr">
        <is>
          <t>NANDA ADE KURNIAWAN</t>
        </is>
      </c>
      <c r="H34" s="15" t="inlineStr">
        <is>
          <t>Domestik</t>
        </is>
      </c>
      <c r="I34" s="15" t="inlineStr">
        <is>
          <t xml:space="preserve">Individu </t>
        </is>
      </c>
      <c r="J34" s="61" t="n">
        <v>731160864.281314</v>
      </c>
      <c r="K34" s="2" t="n"/>
    </row>
    <row r="35">
      <c r="B35" s="2" t="n"/>
      <c r="C35" s="57" t="inlineStr">
        <is>
          <t>20</t>
        </is>
      </c>
      <c r="D35" s="54" t="n"/>
      <c r="E35" s="15" t="inlineStr">
        <is>
          <t>NIK (Domestik)</t>
        </is>
      </c>
      <c r="F35" s="19" t="inlineStr">
        <is>
          <t>1501021001840003</t>
        </is>
      </c>
      <c r="G35" s="15" t="inlineStr">
        <is>
          <t>IWAN PELANI</t>
        </is>
      </c>
      <c r="H35" s="15" t="inlineStr">
        <is>
          <t>Domestik</t>
        </is>
      </c>
      <c r="I35" s="15" t="inlineStr">
        <is>
          <t xml:space="preserve">Individu </t>
        </is>
      </c>
      <c r="J35" s="61" t="n">
        <v>707219222</v>
      </c>
      <c r="K35" s="2" t="n"/>
    </row>
    <row r="36">
      <c r="B36" s="2" t="n"/>
      <c r="C36" s="57" t="inlineStr">
        <is>
          <t>Total</t>
        </is>
      </c>
      <c r="D36" s="54" t="n"/>
      <c r="E36" s="13">
        <f>""</f>
        <v/>
      </c>
      <c r="F36" s="13">
        <f>""</f>
        <v/>
      </c>
      <c r="G36" s="13">
        <f>""</f>
        <v/>
      </c>
      <c r="H36" s="13">
        <f>""</f>
        <v/>
      </c>
      <c r="I36" s="13">
        <f>""</f>
        <v/>
      </c>
      <c r="J36" s="59">
        <f>SUM(J16:J35)</f>
        <v/>
      </c>
      <c r="K36" s="2" t="n"/>
    </row>
    <row r="37"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5" customHeight="1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</sheetData>
  <sheetProtection selectLockedCells="1" selectUnlockedCells="0" algorithmName="SHA-512" sheet="1" objects="0" insertRows="1" insertHyperlinks="1" autoFilter="1" scenarios="0" formatColumns="0" deleteColumns="1" insertColumns="1" pivotTables="1" deleteRows="1" formatCells="1" saltValue="lxkru3oXVUcn4jbTayIx2g==" formatRows="0" sort="1" spinCount="100000" hashValue="Upks+kmOEkdIzD4c7Ku6fCriq2OlZsXAW/iHnZxvpMNDYuitf5yVIECMFF2+cUvzhrAkR7tf8vIkbh0hfDTQUw=="/>
  <mergeCells count="34">
    <mergeCell ref="C34:D34"/>
    <mergeCell ref="C24:D24"/>
    <mergeCell ref="C30:D30"/>
    <mergeCell ref="C33:D33"/>
    <mergeCell ref="C26:D26"/>
    <mergeCell ref="C35:D35"/>
    <mergeCell ref="C20:D20"/>
    <mergeCell ref="C29:D29"/>
    <mergeCell ref="C16:D16"/>
    <mergeCell ref="C25:D25"/>
    <mergeCell ref="C10:J10"/>
    <mergeCell ref="C22:D22"/>
    <mergeCell ref="C31:D31"/>
    <mergeCell ref="G14:G15"/>
    <mergeCell ref="C9:J9"/>
    <mergeCell ref="I14:I15"/>
    <mergeCell ref="C21:D21"/>
    <mergeCell ref="C11:J11"/>
    <mergeCell ref="C27:D27"/>
    <mergeCell ref="C36:D36"/>
    <mergeCell ref="C14:D15"/>
    <mergeCell ref="C23:D23"/>
    <mergeCell ref="C17:D17"/>
    <mergeCell ref="C8:J8"/>
    <mergeCell ref="F14:F15"/>
    <mergeCell ref="H14:H15"/>
    <mergeCell ref="J14:J15"/>
    <mergeCell ref="C32:D32"/>
    <mergeCell ref="C7:J7"/>
    <mergeCell ref="C19:D19"/>
    <mergeCell ref="C28:D28"/>
    <mergeCell ref="C13:J13"/>
    <mergeCell ref="C18:D18"/>
    <mergeCell ref="E14:E15"/>
  </mergeCells>
  <dataValidations count="2">
    <dataValidation sqref="J16:J35" showDropDown="0" showInputMessage="0" showErrorMessage="1" allowBlank="0" errorTitle="Kesalahan Jenis Data" error="Data yang dimasukkan harus berupa Angka!" type="decimal" operator="greaterThanOrEqual">
      <formula1>-1000000000000000000</formula1>
      <formula2>1000000000000000000</formula2>
    </dataValidation>
    <dataValidation sqref="F16:F35" showDropDown="0" showInputMessage="1" showErrorMessage="1" allowBlank="1" prompt="Pengisian NIK KTP menggunakan tanda petik atas (') - contoh: '123456789112345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zoomScale="74" workbookViewId="0">
      <pane xSplit="4" ySplit="15" topLeftCell="E16" activePane="bottomRight" state="frozen"/>
      <selection pane="topRight" activeCell="E1" sqref="E1"/>
      <selection pane="bottomLeft" activeCell="A16" sqref="A16"/>
      <selection pane="bottomRight" activeCell="E30" sqref="E30"/>
    </sheetView>
  </sheetViews>
  <sheetFormatPr baseColWidth="8" defaultColWidth="9.08984375" defaultRowHeight="14.5"/>
  <cols>
    <col width="9.08984375" customWidth="1" style="1" min="1" max="1"/>
    <col width="1" customWidth="1" style="1" min="2" max="2"/>
    <col width="20" customWidth="1" style="1" min="3" max="4"/>
    <col width="30" customWidth="1" style="1" min="5" max="10"/>
    <col width="1" customWidth="1" style="1" min="11" max="11"/>
    <col width="9.08984375" customWidth="1" style="1" min="12" max="12"/>
    <col width="9.08984375" customWidth="1" style="1" min="13" max="16384"/>
  </cols>
  <sheetData>
    <row r="2" ht="5" customHeight="1">
      <c r="B2" s="7" t="inlineStr">
        <is>
          <t>LRTTOPA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idden="1">
      <c r="B3" s="7" t="inlineStr">
        <is>
          <t>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idden="1"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idden="1"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idden="1"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 ht="17" customHeight="1">
      <c r="B7" s="2" t="n"/>
      <c r="C7" s="27">
        <f>UPPER('Data Umum'!D7)</f>
        <v/>
      </c>
      <c r="K7" s="2" t="n"/>
    </row>
    <row r="8">
      <c r="B8" s="2" t="n"/>
      <c r="C8" s="28" t="inlineStr">
        <is>
          <t>PEDAGANG ASET KEUANGAN DIGITAL</t>
        </is>
      </c>
      <c r="K8" s="2" t="n"/>
    </row>
    <row r="9">
      <c r="B9" s="2" t="n"/>
      <c r="C9" s="28" t="inlineStr">
        <is>
          <t>Laporan Bulanan</t>
        </is>
      </c>
      <c r="K9" s="2" t="n"/>
    </row>
    <row r="10">
      <c r="B10" s="2" t="n"/>
      <c r="C10" s="28" t="inlineStr">
        <is>
          <t>Rekapitulasi Top 20 Konsumen Berdasarkan Nilai Top Up Dana Fiat</t>
        </is>
      </c>
      <c r="K10" s="2" t="n"/>
    </row>
    <row r="11">
      <c r="B11" s="2" t="n"/>
      <c r="C11" s="29">
        <f>"Per " &amp; TEXT('Data Umum'!D11, "DD-MMM-YYYY")</f>
        <v/>
      </c>
      <c r="K11" s="2" t="n"/>
    </row>
    <row r="12" hidden="1"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B13" s="2" t="n"/>
      <c r="C13" s="30" t="n"/>
      <c r="K13" s="2" t="n"/>
    </row>
    <row r="14">
      <c r="B14" s="2" t="n"/>
      <c r="C14" s="35" t="inlineStr">
        <is>
          <t>Nomor</t>
        </is>
      </c>
      <c r="D14" s="53" t="n"/>
      <c r="E14" s="35">
        <f>"Jenis Identitas"</f>
        <v/>
      </c>
      <c r="F14" s="35">
        <f>"No Identitas"</f>
        <v/>
      </c>
      <c r="G14" s="35">
        <f>"Nama"</f>
        <v/>
      </c>
      <c r="H14" s="35">
        <f>"Kategori Konsumen"</f>
        <v/>
      </c>
      <c r="I14" s="35">
        <f>"Jenis Konsumen"</f>
        <v/>
      </c>
      <c r="J14" s="35">
        <f>"Nilai Top Up (Rp)"</f>
        <v/>
      </c>
      <c r="K14" s="2" t="n"/>
    </row>
    <row r="15">
      <c r="B15" s="2" t="n"/>
      <c r="C15" s="55" t="n"/>
      <c r="D15" s="56" t="n"/>
      <c r="E15" s="60" t="n"/>
      <c r="F15" s="60" t="n"/>
      <c r="G15" s="60" t="n"/>
      <c r="H15" s="60" t="n"/>
      <c r="I15" s="60" t="n"/>
      <c r="J15" s="60" t="n"/>
      <c r="K15" s="2" t="n"/>
    </row>
    <row r="16">
      <c r="B16" s="2" t="n"/>
      <c r="C16" s="57" t="inlineStr">
        <is>
          <t>1</t>
        </is>
      </c>
      <c r="D16" s="54" t="n"/>
      <c r="E16" s="15" t="inlineStr">
        <is>
          <t>NIK (Domestik)</t>
        </is>
      </c>
      <c r="F16" s="19" t="inlineStr">
        <is>
          <t>3173061411790007</t>
        </is>
      </c>
      <c r="G16" s="15" t="inlineStr">
        <is>
          <t>MARCELL WILLIAM</t>
        </is>
      </c>
      <c r="H16" s="15" t="n"/>
      <c r="I16" s="15" t="inlineStr">
        <is>
          <t xml:space="preserve">Individu </t>
        </is>
      </c>
      <c r="J16" s="62" t="n">
        <v>760000000</v>
      </c>
      <c r="K16" s="2" t="n"/>
    </row>
    <row r="17">
      <c r="B17" s="2" t="n"/>
      <c r="C17" s="57" t="inlineStr">
        <is>
          <t>2</t>
        </is>
      </c>
      <c r="D17" s="54" t="n"/>
      <c r="E17" s="15" t="inlineStr">
        <is>
          <t>NIK (Domestik)</t>
        </is>
      </c>
      <c r="F17" s="19" t="inlineStr">
        <is>
          <t>3173040806830005</t>
        </is>
      </c>
      <c r="G17" s="15" t="inlineStr">
        <is>
          <t>JOHAN CHANDRA</t>
        </is>
      </c>
      <c r="H17" s="15" t="n"/>
      <c r="I17" s="15" t="inlineStr">
        <is>
          <t xml:space="preserve">Individu </t>
        </is>
      </c>
      <c r="J17" s="62" t="n">
        <v>300000000</v>
      </c>
      <c r="K17" s="2" t="n"/>
    </row>
    <row r="18">
      <c r="B18" s="2" t="n"/>
      <c r="C18" s="57" t="inlineStr">
        <is>
          <t>3</t>
        </is>
      </c>
      <c r="D18" s="54" t="n"/>
      <c r="E18" s="15" t="inlineStr">
        <is>
          <t>NIK (Domestik)</t>
        </is>
      </c>
      <c r="F18" s="19" t="inlineStr">
        <is>
          <t>3172015411810010</t>
        </is>
      </c>
      <c r="G18" s="15" t="inlineStr">
        <is>
          <t>WINCE SUDARTO</t>
        </is>
      </c>
      <c r="H18" s="15" t="n"/>
      <c r="I18" s="15" t="inlineStr">
        <is>
          <t xml:space="preserve">Individu </t>
        </is>
      </c>
      <c r="J18" s="62" t="n">
        <v>250000000</v>
      </c>
      <c r="K18" s="2" t="n"/>
    </row>
    <row r="19">
      <c r="B19" s="2" t="n"/>
      <c r="C19" s="57" t="inlineStr">
        <is>
          <t>4</t>
        </is>
      </c>
      <c r="D19" s="54" t="n"/>
      <c r="E19" s="15" t="inlineStr">
        <is>
          <t>NIK (Domestik)</t>
        </is>
      </c>
      <c r="F19" s="19" t="inlineStr">
        <is>
          <t>1271060309900001</t>
        </is>
      </c>
      <c r="G19" s="15" t="inlineStr">
        <is>
          <t>TONY</t>
        </is>
      </c>
      <c r="H19" s="15" t="n"/>
      <c r="I19" s="15" t="inlineStr">
        <is>
          <t xml:space="preserve">Individu </t>
        </is>
      </c>
      <c r="J19" s="62" t="n">
        <v>227450637</v>
      </c>
      <c r="K19" s="2" t="n"/>
    </row>
    <row r="20">
      <c r="B20" s="2" t="n"/>
      <c r="C20" s="57" t="inlineStr">
        <is>
          <t>5</t>
        </is>
      </c>
      <c r="D20" s="54" t="n"/>
      <c r="E20" s="15" t="inlineStr">
        <is>
          <t>NIK (Domestik)</t>
        </is>
      </c>
      <c r="F20" s="19" t="inlineStr">
        <is>
          <t>1202091403040001</t>
        </is>
      </c>
      <c r="G20" s="15" t="inlineStr">
        <is>
          <t>HABIB FATIH ROJHAN</t>
        </is>
      </c>
      <c r="H20" s="15" t="n"/>
      <c r="I20" s="15" t="inlineStr">
        <is>
          <t xml:space="preserve">Individu </t>
        </is>
      </c>
      <c r="J20" s="62" t="n">
        <v>200000000</v>
      </c>
      <c r="K20" s="2" t="n"/>
    </row>
    <row r="21">
      <c r="B21" s="2" t="n"/>
      <c r="C21" s="57" t="inlineStr">
        <is>
          <t>6</t>
        </is>
      </c>
      <c r="D21" s="54" t="n"/>
      <c r="E21" s="15" t="inlineStr">
        <is>
          <t>NIK (Domestik)</t>
        </is>
      </c>
      <c r="F21" s="19" t="inlineStr">
        <is>
          <t>1971050806700004</t>
        </is>
      </c>
      <c r="G21" s="15" t="inlineStr">
        <is>
          <t>ROBERTUS BAMBANG SUSILO</t>
        </is>
      </c>
      <c r="H21" s="15" t="n"/>
      <c r="I21" s="15" t="inlineStr">
        <is>
          <t xml:space="preserve">Individu </t>
        </is>
      </c>
      <c r="J21" s="62" t="n">
        <v>170000000</v>
      </c>
      <c r="K21" s="2" t="n"/>
    </row>
    <row r="22">
      <c r="B22" s="2" t="n"/>
      <c r="C22" s="57" t="inlineStr">
        <is>
          <t>7</t>
        </is>
      </c>
      <c r="D22" s="54" t="n"/>
      <c r="E22" s="15" t="inlineStr">
        <is>
          <t>NIK (Domestik)</t>
        </is>
      </c>
      <c r="F22" s="19" t="inlineStr">
        <is>
          <t>3273032505450002</t>
        </is>
      </c>
      <c r="G22" s="15" t="inlineStr">
        <is>
          <t>ATIM EFENDI</t>
        </is>
      </c>
      <c r="H22" s="15" t="n"/>
      <c r="I22" s="15" t="inlineStr">
        <is>
          <t xml:space="preserve">Individu </t>
        </is>
      </c>
      <c r="J22" s="62" t="n">
        <v>120000000</v>
      </c>
      <c r="K22" s="2" t="n"/>
    </row>
    <row r="23">
      <c r="B23" s="2" t="n"/>
      <c r="C23" s="57" t="inlineStr">
        <is>
          <t>8</t>
        </is>
      </c>
      <c r="D23" s="54" t="n"/>
      <c r="E23" s="15" t="inlineStr">
        <is>
          <t>NIK (Domestik)</t>
        </is>
      </c>
      <c r="F23" s="19" t="inlineStr">
        <is>
          <t>3573032503900003</t>
        </is>
      </c>
      <c r="G23" s="15" t="inlineStr">
        <is>
          <t>MARIO FERNANDO</t>
        </is>
      </c>
      <c r="H23" s="15" t="n"/>
      <c r="I23" s="15" t="inlineStr">
        <is>
          <t xml:space="preserve">Individu </t>
        </is>
      </c>
      <c r="J23" s="62" t="n">
        <v>120000000</v>
      </c>
      <c r="K23" s="2" t="n"/>
    </row>
    <row r="24">
      <c r="B24" s="2" t="n"/>
      <c r="C24" s="57" t="inlineStr">
        <is>
          <t>9</t>
        </is>
      </c>
      <c r="D24" s="54" t="n"/>
      <c r="E24" s="15" t="inlineStr">
        <is>
          <t>NIK (Domestik)</t>
        </is>
      </c>
      <c r="F24" s="19" t="inlineStr">
        <is>
          <t>7171066604670001</t>
        </is>
      </c>
      <c r="G24" s="15" t="inlineStr">
        <is>
          <t>ASNIAR</t>
        </is>
      </c>
      <c r="H24" s="15" t="n"/>
      <c r="I24" s="15" t="inlineStr">
        <is>
          <t xml:space="preserve">Individu </t>
        </is>
      </c>
      <c r="J24" s="62" t="n">
        <v>115000000</v>
      </c>
      <c r="K24" s="2" t="n"/>
    </row>
    <row r="25">
      <c r="B25" s="2" t="n"/>
      <c r="C25" s="57" t="inlineStr">
        <is>
          <t>10</t>
        </is>
      </c>
      <c r="D25" s="54" t="n"/>
      <c r="E25" s="15" t="inlineStr">
        <is>
          <t>NIK (Domestik)</t>
        </is>
      </c>
      <c r="F25" s="19" t="inlineStr">
        <is>
          <t>1302122710850002</t>
        </is>
      </c>
      <c r="G25" s="15" t="inlineStr">
        <is>
          <t>RENGGA GENI AKHSAN ANIS</t>
        </is>
      </c>
      <c r="H25" s="15" t="n"/>
      <c r="I25" s="15" t="inlineStr">
        <is>
          <t xml:space="preserve">Individu </t>
        </is>
      </c>
      <c r="J25" s="62" t="n">
        <v>100000000</v>
      </c>
      <c r="K25" s="2" t="n"/>
    </row>
    <row r="26" ht="29" customHeight="1">
      <c r="B26" s="2" t="n"/>
      <c r="C26" s="57" t="inlineStr">
        <is>
          <t>11</t>
        </is>
      </c>
      <c r="D26" s="54" t="n"/>
      <c r="E26" s="15" t="inlineStr">
        <is>
          <t>NIK (Domestik)</t>
        </is>
      </c>
      <c r="F26" s="19" t="inlineStr">
        <is>
          <t>3173010609950001</t>
        </is>
      </c>
      <c r="G26" s="15" t="inlineStr">
        <is>
          <t>NATHANIEL CHRISTIANTO HARTANTO</t>
        </is>
      </c>
      <c r="H26" s="15" t="n"/>
      <c r="I26" s="15" t="inlineStr">
        <is>
          <t xml:space="preserve">Individu </t>
        </is>
      </c>
      <c r="J26" s="62" t="n">
        <v>100000000</v>
      </c>
      <c r="K26" s="2" t="n"/>
    </row>
    <row r="27">
      <c r="B27" s="2" t="n"/>
      <c r="C27" s="57" t="inlineStr">
        <is>
          <t>12</t>
        </is>
      </c>
      <c r="D27" s="54" t="n"/>
      <c r="E27" s="15" t="inlineStr">
        <is>
          <t>NIK (Domestik)</t>
        </is>
      </c>
      <c r="F27" s="19" t="inlineStr">
        <is>
          <t>1471060307010002</t>
        </is>
      </c>
      <c r="G27" s="15" t="inlineStr">
        <is>
          <t>WILSON ROYNANDO PANJAITAN</t>
        </is>
      </c>
      <c r="H27" s="15" t="n"/>
      <c r="I27" s="15" t="inlineStr">
        <is>
          <t xml:space="preserve">Individu </t>
        </is>
      </c>
      <c r="J27" s="62" t="n">
        <v>97636122</v>
      </c>
      <c r="K27" s="2" t="n"/>
    </row>
    <row r="28">
      <c r="B28" s="2" t="n"/>
      <c r="C28" s="57" t="inlineStr">
        <is>
          <t>13</t>
        </is>
      </c>
      <c r="D28" s="54" t="n"/>
      <c r="E28" s="15" t="inlineStr">
        <is>
          <t>NIK (Domestik)</t>
        </is>
      </c>
      <c r="F28" s="19" t="inlineStr">
        <is>
          <t>3578240610900004</t>
        </is>
      </c>
      <c r="G28" s="15" t="inlineStr">
        <is>
          <t>IRFAN SATRIA SIPAHUTAR</t>
        </is>
      </c>
      <c r="H28" s="15" t="n"/>
      <c r="I28" s="15" t="inlineStr">
        <is>
          <t xml:space="preserve">Individu </t>
        </is>
      </c>
      <c r="J28" s="62" t="n">
        <v>82000000</v>
      </c>
      <c r="K28" s="2" t="n"/>
    </row>
    <row r="29">
      <c r="B29" s="2" t="n"/>
      <c r="C29" s="57" t="inlineStr">
        <is>
          <t>14</t>
        </is>
      </c>
      <c r="D29" s="54" t="n"/>
      <c r="E29" s="15" t="inlineStr">
        <is>
          <t>NIK (Domestik)</t>
        </is>
      </c>
      <c r="F29" s="19" t="inlineStr">
        <is>
          <t>3376021604990003</t>
        </is>
      </c>
      <c r="G29" s="15" t="inlineStr">
        <is>
          <t>FAJAR DAYA WINASIS AZWAR</t>
        </is>
      </c>
      <c r="H29" s="15" t="n"/>
      <c r="I29" s="15" t="inlineStr">
        <is>
          <t xml:space="preserve">Individu </t>
        </is>
      </c>
      <c r="J29" s="62" t="n">
        <v>75500000</v>
      </c>
      <c r="K29" s="2" t="n"/>
    </row>
    <row r="30">
      <c r="B30" s="2" t="n"/>
      <c r="C30" s="57" t="inlineStr">
        <is>
          <t>15</t>
        </is>
      </c>
      <c r="D30" s="54" t="n"/>
      <c r="E30" s="15" t="inlineStr">
        <is>
          <t>NIK (Domestik)</t>
        </is>
      </c>
      <c r="F30" s="19" t="inlineStr">
        <is>
          <t>1702094310830002</t>
        </is>
      </c>
      <c r="G30" s="15" t="inlineStr">
        <is>
          <t>YUYUN ELITA</t>
        </is>
      </c>
      <c r="H30" s="15" t="n"/>
      <c r="I30" s="15" t="inlineStr">
        <is>
          <t xml:space="preserve">Individu </t>
        </is>
      </c>
      <c r="J30" s="62" t="n">
        <v>75000000</v>
      </c>
      <c r="K30" s="2" t="n"/>
    </row>
    <row r="31">
      <c r="B31" s="2" t="n"/>
      <c r="C31" s="57" t="inlineStr">
        <is>
          <t>16</t>
        </is>
      </c>
      <c r="D31" s="54" t="n"/>
      <c r="E31" s="15" t="inlineStr">
        <is>
          <t>NIK (Domestik)</t>
        </is>
      </c>
      <c r="F31" s="19" t="inlineStr">
        <is>
          <t>5272030810970003</t>
        </is>
      </c>
      <c r="G31" s="15" t="inlineStr">
        <is>
          <t>RION</t>
        </is>
      </c>
      <c r="H31" s="15" t="n"/>
      <c r="I31" s="15" t="inlineStr">
        <is>
          <t xml:space="preserve">Individu </t>
        </is>
      </c>
      <c r="J31" s="62" t="n">
        <v>70000000</v>
      </c>
      <c r="K31" s="2" t="n"/>
    </row>
    <row r="32">
      <c r="B32" s="2" t="n"/>
      <c r="C32" s="57" t="inlineStr">
        <is>
          <t>17</t>
        </is>
      </c>
      <c r="D32" s="54" t="n"/>
      <c r="E32" s="15" t="inlineStr">
        <is>
          <t>NIK (Domestik)</t>
        </is>
      </c>
      <c r="F32" s="19" t="inlineStr">
        <is>
          <t>1471054103710001</t>
        </is>
      </c>
      <c r="G32" s="15" t="inlineStr">
        <is>
          <t>LINDAWATI</t>
        </is>
      </c>
      <c r="H32" s="15" t="n"/>
      <c r="I32" s="15" t="inlineStr">
        <is>
          <t xml:space="preserve">Individu </t>
        </is>
      </c>
      <c r="J32" s="62" t="n">
        <v>70000000</v>
      </c>
      <c r="K32" s="2" t="n"/>
    </row>
    <row r="33">
      <c r="B33" s="2" t="n"/>
      <c r="C33" s="57" t="inlineStr">
        <is>
          <t>18</t>
        </is>
      </c>
      <c r="D33" s="54" t="n"/>
      <c r="E33" s="15" t="inlineStr">
        <is>
          <t>NIK (Domestik)</t>
        </is>
      </c>
      <c r="F33" s="19" t="inlineStr">
        <is>
          <t>6172051610890003</t>
        </is>
      </c>
      <c r="G33" s="15" t="inlineStr">
        <is>
          <t>BUN CHI KIUN</t>
        </is>
      </c>
      <c r="H33" s="15" t="n"/>
      <c r="I33" s="15" t="inlineStr">
        <is>
          <t xml:space="preserve">Individu </t>
        </is>
      </c>
      <c r="J33" s="62" t="n">
        <v>70000000</v>
      </c>
      <c r="K33" s="2" t="n"/>
    </row>
    <row r="34">
      <c r="B34" s="2" t="n"/>
      <c r="C34" s="57" t="inlineStr">
        <is>
          <t>19</t>
        </is>
      </c>
      <c r="D34" s="54" t="n"/>
      <c r="E34" s="15" t="inlineStr">
        <is>
          <t>NIK (Domestik)</t>
        </is>
      </c>
      <c r="F34" s="19" t="inlineStr">
        <is>
          <t>3673012102050003</t>
        </is>
      </c>
      <c r="G34" s="15" t="inlineStr">
        <is>
          <t>FERDINAND RAFI ARYA PUTRA</t>
        </is>
      </c>
      <c r="H34" s="15" t="n"/>
      <c r="I34" s="15" t="inlineStr">
        <is>
          <t xml:space="preserve">Individu </t>
        </is>
      </c>
      <c r="J34" s="62" t="n">
        <v>64500000</v>
      </c>
      <c r="K34" s="2" t="n"/>
    </row>
    <row r="35">
      <c r="B35" s="2" t="n"/>
      <c r="C35" s="57" t="inlineStr">
        <is>
          <t>20</t>
        </is>
      </c>
      <c r="D35" s="54" t="n"/>
      <c r="E35" s="15" t="inlineStr">
        <is>
          <t>NIK (Domestik)</t>
        </is>
      </c>
      <c r="F35" s="19" t="inlineStr">
        <is>
          <t>3578312108730001</t>
        </is>
      </c>
      <c r="G35" s="15" t="inlineStr">
        <is>
          <t>AGUS SUGIHARTO</t>
        </is>
      </c>
      <c r="H35" s="15" t="n"/>
      <c r="I35" s="15" t="inlineStr">
        <is>
          <t xml:space="preserve">Individu </t>
        </is>
      </c>
      <c r="J35" s="62" t="n">
        <v>60000000</v>
      </c>
      <c r="K35" s="2" t="n"/>
    </row>
    <row r="36">
      <c r="B36" s="2" t="n"/>
      <c r="C36" s="57" t="inlineStr">
        <is>
          <t>Total</t>
        </is>
      </c>
      <c r="D36" s="54" t="n"/>
      <c r="E36" s="13">
        <f>""</f>
        <v/>
      </c>
      <c r="F36" s="13">
        <f>""</f>
        <v/>
      </c>
      <c r="G36" s="13">
        <f>""</f>
        <v/>
      </c>
      <c r="H36" s="13">
        <f>""</f>
        <v/>
      </c>
      <c r="I36" s="13">
        <f>""</f>
        <v/>
      </c>
      <c r="J36" s="59">
        <f>SUM(J16:J35)</f>
        <v/>
      </c>
      <c r="K36" s="2" t="n"/>
    </row>
    <row r="37"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5" customHeight="1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</sheetData>
  <sheetProtection selectLockedCells="1" selectUnlockedCells="0" algorithmName="SHA-512" sheet="1" objects="0" insertRows="1" insertHyperlinks="1" autoFilter="1" scenarios="0" formatColumns="0" deleteColumns="1" insertColumns="1" pivotTables="1" deleteRows="1" formatCells="1" saltValue="xKY0EtDw2zUKHjiQWxWKGQ==" formatRows="0" sort="1" spinCount="100000" hashValue="o1Ewsdn4fWF8aYhKSUJpKWoUtgfpOzGzbYZXm8AaJGnBJBrMRIfoghpL8MSovGjcX+/iYuD4HL/Omo07c355iA=="/>
  <mergeCells count="34">
    <mergeCell ref="C34:D34"/>
    <mergeCell ref="C24:D24"/>
    <mergeCell ref="C30:D30"/>
    <mergeCell ref="C33:D33"/>
    <mergeCell ref="C26:D26"/>
    <mergeCell ref="C35:D35"/>
    <mergeCell ref="C20:D20"/>
    <mergeCell ref="C29:D29"/>
    <mergeCell ref="C16:D16"/>
    <mergeCell ref="C25:D25"/>
    <mergeCell ref="C10:J10"/>
    <mergeCell ref="C22:D22"/>
    <mergeCell ref="C31:D31"/>
    <mergeCell ref="G14:G15"/>
    <mergeCell ref="C9:J9"/>
    <mergeCell ref="I14:I15"/>
    <mergeCell ref="C21:D21"/>
    <mergeCell ref="C11:J11"/>
    <mergeCell ref="C27:D27"/>
    <mergeCell ref="C36:D36"/>
    <mergeCell ref="C14:D15"/>
    <mergeCell ref="C23:D23"/>
    <mergeCell ref="C17:D17"/>
    <mergeCell ref="C8:J8"/>
    <mergeCell ref="F14:F15"/>
    <mergeCell ref="H14:H15"/>
    <mergeCell ref="J14:J15"/>
    <mergeCell ref="C32:D32"/>
    <mergeCell ref="C7:J7"/>
    <mergeCell ref="C19:D19"/>
    <mergeCell ref="C28:D28"/>
    <mergeCell ref="C13:J13"/>
    <mergeCell ref="C18:D18"/>
    <mergeCell ref="E14:E15"/>
  </mergeCells>
  <dataValidations count="2">
    <dataValidation sqref="J16:J35" showDropDown="0" showInputMessage="0" showErrorMessage="1" allowBlank="0" errorTitle="Kesalahan Jenis Data" error="Data yang dimasukkan harus berupa Angka!" type="decimal" operator="greaterThanOrEqual">
      <formula1>-1000000000000000000</formula1>
      <formula2>1000000000000000000</formula2>
    </dataValidation>
    <dataValidation sqref="F16:F35" showDropDown="0" showInputMessage="1" showErrorMessage="1" allowBlank="1" prompt="Pengisian NIK KTP menggunakan tanda petik atas (') - contoh: '123456789112345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zoomScale="73" workbookViewId="0">
      <pane xSplit="4" ySplit="15" topLeftCell="F16" activePane="bottomRight" state="frozen"/>
      <selection pane="topRight" activeCell="E1" sqref="E1"/>
      <selection pane="bottomLeft" activeCell="A16" sqref="A16"/>
      <selection pane="bottomRight" activeCell="G25" sqref="G25"/>
    </sheetView>
  </sheetViews>
  <sheetFormatPr baseColWidth="8" defaultColWidth="9.08984375" defaultRowHeight="14.5"/>
  <cols>
    <col width="9.08984375" customWidth="1" style="1" min="1" max="1"/>
    <col width="1" customWidth="1" style="1" min="2" max="2"/>
    <col width="20" customWidth="1" style="1" min="3" max="4"/>
    <col width="30" customWidth="1" style="1" min="5" max="10"/>
    <col width="1" customWidth="1" style="1" min="11" max="11"/>
    <col width="9.08984375" customWidth="1" style="1" min="12" max="12"/>
    <col width="9.08984375" customWidth="1" style="1" min="13" max="16384"/>
  </cols>
  <sheetData>
    <row r="2" ht="5" customHeight="1">
      <c r="B2" s="7" t="inlineStr">
        <is>
          <t>LRTNWDA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idden="1">
      <c r="B3" s="7" t="inlineStr">
        <is>
          <t>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idden="1"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idden="1"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idden="1"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 ht="17" customHeight="1">
      <c r="B7" s="2" t="n"/>
      <c r="C7" s="27">
        <f>UPPER('Data Umum'!D7)</f>
        <v/>
      </c>
      <c r="K7" s="2" t="n"/>
    </row>
    <row r="8">
      <c r="B8" s="2" t="n"/>
      <c r="C8" s="28" t="inlineStr">
        <is>
          <t>PEDAGANG ASET KEUANGAN DIGITAL</t>
        </is>
      </c>
      <c r="K8" s="2" t="n"/>
    </row>
    <row r="9">
      <c r="B9" s="2" t="n"/>
      <c r="C9" s="28" t="inlineStr">
        <is>
          <t>Laporan Bulanan</t>
        </is>
      </c>
      <c r="K9" s="2" t="n"/>
    </row>
    <row r="10">
      <c r="B10" s="2" t="n"/>
      <c r="C10" s="28" t="inlineStr">
        <is>
          <t>Rekapitulasi Top 20 Konsumen Berdasarkan Nilai Withdraw Dana Fiat</t>
        </is>
      </c>
      <c r="K10" s="2" t="n"/>
    </row>
    <row r="11">
      <c r="B11" s="2" t="n"/>
      <c r="C11" s="29">
        <f>"Per " &amp; TEXT('Data Umum'!D11, "DD-MMM-YYYY")</f>
        <v/>
      </c>
      <c r="K11" s="2" t="n"/>
    </row>
    <row r="12" hidden="1"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B13" s="2" t="n"/>
      <c r="C13" s="30" t="n"/>
      <c r="K13" s="2" t="n"/>
    </row>
    <row r="14">
      <c r="B14" s="2" t="n"/>
      <c r="C14" s="35" t="inlineStr">
        <is>
          <t>Nomor</t>
        </is>
      </c>
      <c r="D14" s="53" t="n"/>
      <c r="E14" s="35">
        <f>"Jenis Identitas"</f>
        <v/>
      </c>
      <c r="F14" s="35">
        <f>"No Identitas"</f>
        <v/>
      </c>
      <c r="G14" s="35">
        <f>"Nama"</f>
        <v/>
      </c>
      <c r="H14" s="35">
        <f>"Kategori Konsumen"</f>
        <v/>
      </c>
      <c r="I14" s="35">
        <f>"Jenis Konsumen"</f>
        <v/>
      </c>
      <c r="J14" s="35">
        <f>"Nilai Withdraw (Rp)"</f>
        <v/>
      </c>
      <c r="K14" s="2" t="n"/>
    </row>
    <row r="15">
      <c r="B15" s="2" t="n"/>
      <c r="C15" s="55" t="n"/>
      <c r="D15" s="56" t="n"/>
      <c r="E15" s="60" t="n"/>
      <c r="F15" s="60" t="n"/>
      <c r="G15" s="60" t="n"/>
      <c r="H15" s="60" t="n"/>
      <c r="I15" s="60" t="n"/>
      <c r="J15" s="60" t="n"/>
      <c r="K15" s="2" t="n"/>
    </row>
    <row r="16">
      <c r="B16" s="2" t="n"/>
      <c r="C16" s="57" t="inlineStr">
        <is>
          <t>1</t>
        </is>
      </c>
      <c r="D16" s="54" t="n"/>
      <c r="E16" s="15" t="inlineStr">
        <is>
          <t>National ID (Asing)</t>
        </is>
      </c>
      <c r="F16" s="19" t="inlineStr">
        <is>
          <t>PB5653059</t>
        </is>
      </c>
      <c r="G16" s="15" t="inlineStr">
        <is>
          <t>JENNIFER JOAN DUMMETT</t>
        </is>
      </c>
      <c r="H16" s="15" t="inlineStr">
        <is>
          <t>Asing</t>
        </is>
      </c>
      <c r="I16" s="15" t="inlineStr">
        <is>
          <t xml:space="preserve">Individu </t>
        </is>
      </c>
      <c r="J16" s="62" t="n">
        <v>562690980</v>
      </c>
      <c r="K16" s="2" t="n"/>
    </row>
    <row r="17">
      <c r="B17" s="2" t="n"/>
      <c r="C17" s="57" t="inlineStr">
        <is>
          <t>2</t>
        </is>
      </c>
      <c r="D17" s="54" t="n"/>
      <c r="E17" s="15" t="inlineStr">
        <is>
          <t>NIK (Domestik)</t>
        </is>
      </c>
      <c r="F17" s="19" t="inlineStr">
        <is>
          <t>3275092905810013</t>
        </is>
      </c>
      <c r="G17" s="15" t="inlineStr">
        <is>
          <t>SIMONTA TUAN</t>
        </is>
      </c>
      <c r="H17" s="15" t="inlineStr">
        <is>
          <t>Domestik</t>
        </is>
      </c>
      <c r="I17" s="15" t="inlineStr">
        <is>
          <t xml:space="preserve">Individu </t>
        </is>
      </c>
      <c r="J17" s="62" t="n">
        <v>497367317</v>
      </c>
      <c r="K17" s="2" t="n"/>
    </row>
    <row r="18">
      <c r="B18" s="2" t="n"/>
      <c r="C18" s="57" t="inlineStr">
        <is>
          <t>3</t>
        </is>
      </c>
      <c r="D18" s="54" t="n"/>
      <c r="E18" s="15" t="inlineStr">
        <is>
          <t>NIK (Domestik)</t>
        </is>
      </c>
      <c r="F18" s="19" t="inlineStr">
        <is>
          <t>3173040806830005</t>
        </is>
      </c>
      <c r="G18" s="15" t="inlineStr">
        <is>
          <t>JOHAN CHANDRA</t>
        </is>
      </c>
      <c r="H18" s="15" t="inlineStr">
        <is>
          <t>Domestik</t>
        </is>
      </c>
      <c r="I18" s="15" t="inlineStr">
        <is>
          <t xml:space="preserve">Individu </t>
        </is>
      </c>
      <c r="J18" s="62" t="n">
        <v>364330603</v>
      </c>
      <c r="K18" s="2" t="n"/>
    </row>
    <row r="19">
      <c r="B19" s="2" t="n"/>
      <c r="C19" s="57" t="inlineStr">
        <is>
          <t>4</t>
        </is>
      </c>
      <c r="D19" s="54" t="n"/>
      <c r="E19" s="15" t="inlineStr">
        <is>
          <t>NIK (Domestik)</t>
        </is>
      </c>
      <c r="F19" s="19" t="inlineStr">
        <is>
          <t>3173061411790007</t>
        </is>
      </c>
      <c r="G19" s="15" t="inlineStr">
        <is>
          <t>MARCELL WILLIAM</t>
        </is>
      </c>
      <c r="H19" s="15" t="inlineStr">
        <is>
          <t>Domestik</t>
        </is>
      </c>
      <c r="I19" s="15" t="inlineStr">
        <is>
          <t xml:space="preserve">Individu </t>
        </is>
      </c>
      <c r="J19" s="62" t="n">
        <v>253226262</v>
      </c>
      <c r="K19" s="2" t="n"/>
    </row>
    <row r="20">
      <c r="B20" s="2" t="n"/>
      <c r="C20" s="57" t="inlineStr">
        <is>
          <t>5</t>
        </is>
      </c>
      <c r="D20" s="54" t="n"/>
      <c r="E20" s="15" t="inlineStr">
        <is>
          <t>NIK (Domestik)</t>
        </is>
      </c>
      <c r="F20" s="19" t="inlineStr">
        <is>
          <t>1501021001840003</t>
        </is>
      </c>
      <c r="G20" s="15" t="inlineStr">
        <is>
          <t>IWAN PELANI</t>
        </is>
      </c>
      <c r="H20" s="15" t="inlineStr">
        <is>
          <t>Domestik</t>
        </is>
      </c>
      <c r="I20" s="15" t="inlineStr">
        <is>
          <t xml:space="preserve">Individu </t>
        </is>
      </c>
      <c r="J20" s="62" t="n">
        <v>230004500</v>
      </c>
      <c r="K20" s="2" t="n"/>
    </row>
    <row r="21">
      <c r="B21" s="2" t="n"/>
      <c r="C21" s="57" t="inlineStr">
        <is>
          <t>6</t>
        </is>
      </c>
      <c r="D21" s="54" t="n"/>
      <c r="E21" s="15" t="inlineStr">
        <is>
          <t>NIK (Domestik)</t>
        </is>
      </c>
      <c r="F21" s="19" t="inlineStr">
        <is>
          <t>3173084401650001</t>
        </is>
      </c>
      <c r="G21" s="15" t="inlineStr">
        <is>
          <t>RAMAWATI ARIFIN</t>
        </is>
      </c>
      <c r="H21" s="15" t="inlineStr">
        <is>
          <t>Domestik</t>
        </is>
      </c>
      <c r="I21" s="15" t="inlineStr">
        <is>
          <t xml:space="preserve">Individu </t>
        </is>
      </c>
      <c r="J21" s="62" t="n">
        <v>225800000</v>
      </c>
      <c r="K21" s="2" t="n"/>
    </row>
    <row r="22">
      <c r="B22" s="2" t="n"/>
      <c r="C22" s="57" t="inlineStr">
        <is>
          <t>7</t>
        </is>
      </c>
      <c r="D22" s="54" t="n"/>
      <c r="E22" s="15" t="inlineStr">
        <is>
          <t>NIK (Domestik)</t>
        </is>
      </c>
      <c r="F22" s="19" t="inlineStr">
        <is>
          <t>1671040904840021</t>
        </is>
      </c>
      <c r="G22" s="15" t="inlineStr">
        <is>
          <t>M. CHARNAIN IBRAHIM</t>
        </is>
      </c>
      <c r="H22" s="15" t="inlineStr">
        <is>
          <t>Domestik</t>
        </is>
      </c>
      <c r="I22" s="15" t="inlineStr">
        <is>
          <t xml:space="preserve">Individu </t>
        </is>
      </c>
      <c r="J22" s="62" t="n">
        <v>201685287</v>
      </c>
      <c r="K22" s="2" t="n"/>
    </row>
    <row r="23">
      <c r="B23" s="2" t="n"/>
      <c r="C23" s="57" t="inlineStr">
        <is>
          <t>8</t>
        </is>
      </c>
      <c r="D23" s="54" t="n"/>
      <c r="E23" s="15" t="inlineStr">
        <is>
          <t>NIK (Domestik)</t>
        </is>
      </c>
      <c r="F23" s="19" t="inlineStr">
        <is>
          <t>3578232211970001</t>
        </is>
      </c>
      <c r="G23" s="15" t="inlineStr">
        <is>
          <t>MUHAMMAD AMIN</t>
        </is>
      </c>
      <c r="H23" s="15" t="inlineStr">
        <is>
          <t>Domestik</t>
        </is>
      </c>
      <c r="I23" s="15" t="inlineStr">
        <is>
          <t xml:space="preserve">Individu </t>
        </is>
      </c>
      <c r="J23" s="62" t="n">
        <v>200137309</v>
      </c>
      <c r="K23" s="2" t="n"/>
    </row>
    <row r="24">
      <c r="B24" s="2" t="n"/>
      <c r="C24" s="57" t="inlineStr">
        <is>
          <t>9</t>
        </is>
      </c>
      <c r="D24" s="54" t="n"/>
      <c r="E24" s="15" t="inlineStr">
        <is>
          <t>NIK (Domestik)</t>
        </is>
      </c>
      <c r="F24" s="19" t="inlineStr">
        <is>
          <t>3505171011890004</t>
        </is>
      </c>
      <c r="G24" s="15" t="inlineStr">
        <is>
          <t>RONNY DALTON</t>
        </is>
      </c>
      <c r="H24" s="15" t="inlineStr">
        <is>
          <t>Domestik</t>
        </is>
      </c>
      <c r="I24" s="15" t="inlineStr">
        <is>
          <t xml:space="preserve">Individu </t>
        </is>
      </c>
      <c r="J24" s="62" t="n">
        <v>180892199</v>
      </c>
      <c r="K24" s="2" t="n"/>
    </row>
    <row r="25">
      <c r="B25" s="2" t="n"/>
      <c r="C25" s="57" t="inlineStr">
        <is>
          <t>10</t>
        </is>
      </c>
      <c r="D25" s="54" t="n"/>
      <c r="E25" s="15" t="inlineStr">
        <is>
          <t>NIK (Domestik)</t>
        </is>
      </c>
      <c r="F25" s="19" t="inlineStr">
        <is>
          <t>3374021502830001</t>
        </is>
      </c>
      <c r="G25" s="15" t="inlineStr">
        <is>
          <t>HADI CHANDRA</t>
        </is>
      </c>
      <c r="H25" s="15" t="inlineStr">
        <is>
          <t>Domestik</t>
        </is>
      </c>
      <c r="I25" s="15" t="inlineStr">
        <is>
          <t xml:space="preserve">Individu </t>
        </is>
      </c>
      <c r="J25" s="62" t="n">
        <v>179972438</v>
      </c>
      <c r="K25" s="2" t="n"/>
    </row>
    <row r="26">
      <c r="B26" s="2" t="n"/>
      <c r="C26" s="57" t="inlineStr">
        <is>
          <t>11</t>
        </is>
      </c>
      <c r="D26" s="54" t="n"/>
      <c r="E26" s="15" t="inlineStr">
        <is>
          <t>NIK (Domestik)</t>
        </is>
      </c>
      <c r="F26" s="19" t="inlineStr">
        <is>
          <t>6303051207940008</t>
        </is>
      </c>
      <c r="G26" s="15" t="inlineStr">
        <is>
          <t>MUHAMMAD BAIHAKI</t>
        </is>
      </c>
      <c r="H26" s="15" t="inlineStr">
        <is>
          <t>Domestik</t>
        </is>
      </c>
      <c r="I26" s="15" t="inlineStr">
        <is>
          <t xml:space="preserve">Individu </t>
        </is>
      </c>
      <c r="J26" s="62" t="n">
        <v>167107563</v>
      </c>
      <c r="K26" s="2" t="n"/>
    </row>
    <row r="27">
      <c r="B27" s="2" t="n"/>
      <c r="C27" s="57" t="inlineStr">
        <is>
          <t>12</t>
        </is>
      </c>
      <c r="D27" s="54" t="n"/>
      <c r="E27" s="15" t="inlineStr">
        <is>
          <t>NIK (Domestik)</t>
        </is>
      </c>
      <c r="F27" s="19" t="inlineStr">
        <is>
          <t>3172012304710004</t>
        </is>
      </c>
      <c r="G27" s="15" t="inlineStr">
        <is>
          <t>JIMMY HUNGIANTO</t>
        </is>
      </c>
      <c r="H27" s="15" t="inlineStr">
        <is>
          <t>Domestik</t>
        </is>
      </c>
      <c r="I27" s="15" t="inlineStr">
        <is>
          <t xml:space="preserve">Individu </t>
        </is>
      </c>
      <c r="J27" s="62" t="n">
        <v>159020051</v>
      </c>
      <c r="K27" s="2" t="n"/>
    </row>
    <row r="28">
      <c r="B28" s="2" t="n"/>
      <c r="C28" s="57" t="inlineStr">
        <is>
          <t>13</t>
        </is>
      </c>
      <c r="D28" s="54" t="n"/>
      <c r="E28" s="15" t="inlineStr">
        <is>
          <t>NIK (Domestik)</t>
        </is>
      </c>
      <c r="F28" s="19" t="inlineStr">
        <is>
          <t>3674034607000002</t>
        </is>
      </c>
      <c r="G28" s="15" t="inlineStr">
        <is>
          <t>JASMINE NURAINI ZULFICKRY</t>
        </is>
      </c>
      <c r="H28" s="15" t="inlineStr">
        <is>
          <t>Domestik</t>
        </is>
      </c>
      <c r="I28" s="15" t="inlineStr">
        <is>
          <t xml:space="preserve">Individu </t>
        </is>
      </c>
      <c r="J28" s="62" t="n">
        <v>157785091</v>
      </c>
      <c r="K28" s="2" t="n"/>
    </row>
    <row r="29">
      <c r="B29" s="2" t="n"/>
      <c r="C29" s="57" t="inlineStr">
        <is>
          <t>14</t>
        </is>
      </c>
      <c r="D29" s="54" t="n"/>
      <c r="E29" s="15" t="inlineStr">
        <is>
          <t>NIK (Domestik)</t>
        </is>
      </c>
      <c r="F29" s="19" t="inlineStr">
        <is>
          <t>3573032503900003</t>
        </is>
      </c>
      <c r="G29" s="15" t="inlineStr">
        <is>
          <t>MARIO FERNANDO</t>
        </is>
      </c>
      <c r="H29" s="15" t="inlineStr">
        <is>
          <t>Domestik</t>
        </is>
      </c>
      <c r="I29" s="15" t="inlineStr">
        <is>
          <t xml:space="preserve">Individu </t>
        </is>
      </c>
      <c r="J29" s="62" t="n">
        <v>124391786</v>
      </c>
      <c r="K29" s="2" t="n"/>
    </row>
    <row r="30">
      <c r="B30" s="2" t="n"/>
      <c r="C30" s="57" t="inlineStr">
        <is>
          <t>15</t>
        </is>
      </c>
      <c r="D30" s="54" t="n"/>
      <c r="E30" s="15" t="inlineStr">
        <is>
          <t>NIK (Domestik)</t>
        </is>
      </c>
      <c r="F30" s="19" t="inlineStr">
        <is>
          <t>3213233108970001</t>
        </is>
      </c>
      <c r="G30" s="15" t="inlineStr">
        <is>
          <t>IKO KURNIAWAN</t>
        </is>
      </c>
      <c r="H30" s="15" t="inlineStr">
        <is>
          <t>Domestik</t>
        </is>
      </c>
      <c r="I30" s="15" t="inlineStr">
        <is>
          <t xml:space="preserve">Individu </t>
        </is>
      </c>
      <c r="J30" s="62" t="n">
        <v>124098736</v>
      </c>
      <c r="K30" s="2" t="n"/>
    </row>
    <row r="31">
      <c r="B31" s="2" t="n"/>
      <c r="C31" s="57" t="inlineStr">
        <is>
          <t>16</t>
        </is>
      </c>
      <c r="D31" s="54" t="n"/>
      <c r="E31" s="15" t="inlineStr">
        <is>
          <t>NIK (Domestik)</t>
        </is>
      </c>
      <c r="F31" s="19" t="inlineStr">
        <is>
          <t>3172011503800014</t>
        </is>
      </c>
      <c r="G31" s="15" t="inlineStr">
        <is>
          <t>NICO HUSEIN</t>
        </is>
      </c>
      <c r="H31" s="15" t="inlineStr">
        <is>
          <t>Domestik</t>
        </is>
      </c>
      <c r="I31" s="15" t="inlineStr">
        <is>
          <t xml:space="preserve">Individu </t>
        </is>
      </c>
      <c r="J31" s="62" t="n">
        <v>107520630</v>
      </c>
      <c r="K31" s="2" t="n"/>
    </row>
    <row r="32">
      <c r="B32" s="2" t="n"/>
      <c r="C32" s="57" t="inlineStr">
        <is>
          <t>17</t>
        </is>
      </c>
      <c r="D32" s="54" t="n"/>
      <c r="E32" s="15" t="inlineStr">
        <is>
          <t>NIK (Domestik)</t>
        </is>
      </c>
      <c r="F32" s="19" t="inlineStr">
        <is>
          <t>3275031512770005</t>
        </is>
      </c>
      <c r="G32" s="15" t="inlineStr">
        <is>
          <t>DARMAWAN KOSASIH</t>
        </is>
      </c>
      <c r="H32" s="15" t="inlineStr">
        <is>
          <t>Domestik</t>
        </is>
      </c>
      <c r="I32" s="15" t="inlineStr">
        <is>
          <t xml:space="preserve">Individu </t>
        </is>
      </c>
      <c r="J32" s="62" t="n">
        <v>95996325</v>
      </c>
      <c r="K32" s="2" t="n"/>
    </row>
    <row r="33">
      <c r="B33" s="2" t="n"/>
      <c r="C33" s="57" t="inlineStr">
        <is>
          <t>18</t>
        </is>
      </c>
      <c r="D33" s="54" t="n"/>
      <c r="E33" s="15" t="inlineStr">
        <is>
          <t>NIK (Domestik)</t>
        </is>
      </c>
      <c r="F33" s="19" t="inlineStr">
        <is>
          <t>3671052605920003</t>
        </is>
      </c>
      <c r="G33" s="15" t="inlineStr">
        <is>
          <t>MICO</t>
        </is>
      </c>
      <c r="H33" s="15" t="inlineStr">
        <is>
          <t>Domestik</t>
        </is>
      </c>
      <c r="I33" s="15" t="inlineStr">
        <is>
          <t xml:space="preserve">Individu </t>
        </is>
      </c>
      <c r="J33" s="62" t="n">
        <v>92336890</v>
      </c>
      <c r="K33" s="2" t="n"/>
    </row>
    <row r="34">
      <c r="B34" s="2" t="n"/>
      <c r="C34" s="57" t="inlineStr">
        <is>
          <t>19</t>
        </is>
      </c>
      <c r="D34" s="54" t="n"/>
      <c r="E34" s="15" t="inlineStr">
        <is>
          <t>NIK (Domestik)</t>
        </is>
      </c>
      <c r="F34" s="19" t="inlineStr">
        <is>
          <t>3509196702690003</t>
        </is>
      </c>
      <c r="G34" s="15" t="inlineStr">
        <is>
          <t>ELANI</t>
        </is>
      </c>
      <c r="H34" s="15" t="inlineStr">
        <is>
          <t>Domestik</t>
        </is>
      </c>
      <c r="I34" s="15" t="inlineStr">
        <is>
          <t xml:space="preserve">Individu </t>
        </is>
      </c>
      <c r="J34" s="62" t="n">
        <v>92101500</v>
      </c>
      <c r="K34" s="2" t="n"/>
    </row>
    <row r="35">
      <c r="B35" s="2" t="n"/>
      <c r="C35" s="57" t="inlineStr">
        <is>
          <t>20</t>
        </is>
      </c>
      <c r="D35" s="54" t="n"/>
      <c r="E35" s="15" t="inlineStr">
        <is>
          <t>NIK (Domestik)</t>
        </is>
      </c>
      <c r="F35" s="19" t="inlineStr">
        <is>
          <t>7471011810750002</t>
        </is>
      </c>
      <c r="G35" s="15" t="inlineStr">
        <is>
          <t>IMAN MANGORI</t>
        </is>
      </c>
      <c r="H35" s="15" t="inlineStr">
        <is>
          <t>Domestik</t>
        </is>
      </c>
      <c r="I35" s="15" t="inlineStr">
        <is>
          <t xml:space="preserve">Individu </t>
        </is>
      </c>
      <c r="J35" s="62" t="n">
        <v>88200000</v>
      </c>
      <c r="K35" s="2" t="n"/>
    </row>
    <row r="36">
      <c r="B36" s="2" t="n"/>
      <c r="C36" s="57" t="inlineStr">
        <is>
          <t>Total</t>
        </is>
      </c>
      <c r="D36" s="54" t="n"/>
      <c r="E36" s="13">
        <f>""</f>
        <v/>
      </c>
      <c r="F36" s="13">
        <f>""</f>
        <v/>
      </c>
      <c r="G36" s="13">
        <f>""</f>
        <v/>
      </c>
      <c r="H36" s="13">
        <f>""</f>
        <v/>
      </c>
      <c r="I36" s="13">
        <f>""</f>
        <v/>
      </c>
      <c r="J36" s="59">
        <f>SUM(J16:J35)</f>
        <v/>
      </c>
      <c r="K36" s="2" t="n"/>
    </row>
    <row r="37"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5" customHeight="1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</sheetData>
  <sheetProtection selectLockedCells="1" selectUnlockedCells="0" algorithmName="SHA-512" sheet="1" objects="0" insertRows="1" insertHyperlinks="1" autoFilter="1" scenarios="0" formatColumns="0" deleteColumns="1" insertColumns="1" pivotTables="1" deleteRows="1" formatCells="1" saltValue="KWQQKqj2mfDudBYir9TWjw==" formatRows="0" sort="1" spinCount="100000" hashValue="E1sc+LVo/1sz/XqIHRTNcNGhkinZCoVXDDI2tkEUxafcqp/Lyk/jDEnUJq9ws16SZv76xn7OkVIwhPx2rkFb8A=="/>
  <mergeCells count="34">
    <mergeCell ref="C34:D34"/>
    <mergeCell ref="C24:D24"/>
    <mergeCell ref="C30:D30"/>
    <mergeCell ref="C33:D33"/>
    <mergeCell ref="C26:D26"/>
    <mergeCell ref="C35:D35"/>
    <mergeCell ref="C20:D20"/>
    <mergeCell ref="C29:D29"/>
    <mergeCell ref="C16:D16"/>
    <mergeCell ref="C25:D25"/>
    <mergeCell ref="C10:J10"/>
    <mergeCell ref="C22:D22"/>
    <mergeCell ref="C31:D31"/>
    <mergeCell ref="G14:G15"/>
    <mergeCell ref="C9:J9"/>
    <mergeCell ref="I14:I15"/>
    <mergeCell ref="C21:D21"/>
    <mergeCell ref="C11:J11"/>
    <mergeCell ref="C27:D27"/>
    <mergeCell ref="C36:D36"/>
    <mergeCell ref="C14:D15"/>
    <mergeCell ref="C23:D23"/>
    <mergeCell ref="C17:D17"/>
    <mergeCell ref="C8:J8"/>
    <mergeCell ref="F14:F15"/>
    <mergeCell ref="H14:H15"/>
    <mergeCell ref="J14:J15"/>
    <mergeCell ref="C32:D32"/>
    <mergeCell ref="C7:J7"/>
    <mergeCell ref="C19:D19"/>
    <mergeCell ref="C28:D28"/>
    <mergeCell ref="C13:J13"/>
    <mergeCell ref="C18:D18"/>
    <mergeCell ref="E14:E15"/>
  </mergeCells>
  <dataValidations count="2">
    <dataValidation sqref="J16:J35" showDropDown="0" showInputMessage="0" showErrorMessage="1" allowBlank="0" errorTitle="Kesalahan Jenis Data" error="Data yang dimasukkan harus berupa Angka!" type="decimal" operator="greaterThanOrEqual">
      <formula1>-1000000000000000000</formula1>
      <formula2>1000000000000000000</formula2>
    </dataValidation>
    <dataValidation sqref="F16:F35" showDropDown="0" showInputMessage="1" showErrorMessage="1" allowBlank="1" prompt="Pengisian NIK KTP menggunakan tanda petik atas (') - contoh: '123456789112345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D3"/>
  <sheetViews>
    <sheetView workbookViewId="0">
      <selection activeCell="D13" sqref="D13"/>
    </sheetView>
  </sheetViews>
  <sheetFormatPr baseColWidth="8" defaultRowHeight="14.5"/>
  <cols>
    <col width="34.1796875" bestFit="1" customWidth="1" min="2" max="2"/>
    <col width="16.08984375" bestFit="1" customWidth="1" min="3" max="3"/>
    <col width="16.81640625" bestFit="1" customWidth="1" min="4" max="4"/>
  </cols>
  <sheetData>
    <row r="1">
      <c r="B1" t="inlineStr">
        <is>
          <t>Badan Usaha</t>
        </is>
      </c>
      <c r="C1" s="16" t="inlineStr">
        <is>
          <t xml:space="preserve">Individu </t>
        </is>
      </c>
      <c r="D1" t="inlineStr">
        <is>
          <t>Kategori Konsumen</t>
        </is>
      </c>
    </row>
    <row r="2">
      <c r="B2" s="16" t="inlineStr">
        <is>
          <t>NPWP (Domestik)</t>
        </is>
      </c>
      <c r="C2" s="16" t="inlineStr">
        <is>
          <t>NIK (Domestik)</t>
        </is>
      </c>
      <c r="D2" t="inlineStr">
        <is>
          <t>Asing</t>
        </is>
      </c>
    </row>
    <row r="3">
      <c r="B3" s="16" t="inlineStr">
        <is>
          <t>Identification No./ Tax Id/Sejenis (Asing)</t>
        </is>
      </c>
      <c r="C3" s="16" t="inlineStr">
        <is>
          <t>National ID (Asing)</t>
        </is>
      </c>
      <c r="D3" t="inlineStr">
        <is>
          <t>Domestik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i7w+JaJqln1apxEUVx9QQ==" formatRows="1" sort="1" spinCount="100000" hashValue="BfDt+gQw6+RTjuFR9X0Oj5kjtHh3yd9iaNht607Zn+gutt6QrC6F6rFZfknC3Vx8YQ2K3aZwRc6XgVt1OrQ9ZA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2025-02-07T04:42:56Z</dcterms:created>
  <dcterms:modified xsi:type="dcterms:W3CDTF">2025-05-15T06:20:12Z</dcterms:modified>
  <cp:lastModifiedBy>Thony Michael</cp:lastModifiedBy>
</cp:coreProperties>
</file>