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8001_{E3A579C9-E6EA-4386-9A12-6044EE3E5DCB}" xr6:coauthVersionLast="47" xr6:coauthVersionMax="47" xr10:uidLastSave="{00000000-0000-0000-0000-000000000000}"/>
  <workbookProtection lockStructure="1"/>
  <bookViews>
    <workbookView xWindow="-120" yWindow="-120" windowWidth="20730" windowHeight="11160" activeTab="5" xr2:uid="{00000000-000D-0000-FFFF-FFFF00000000}"/>
  </bookViews>
  <sheets>
    <sheet name="Data Umum" sheetId="1" r:id="rId1"/>
    <sheet name="Cover" sheetId="2" r:id="rId2"/>
    <sheet name="Validasi" sheetId="3" r:id="rId3"/>
    <sheet name="LSDK" sheetId="4" r:id="rId4"/>
    <sheet name="LSTAKDKP" sheetId="5" r:id="rId5"/>
    <sheet name="LTAKDK" sheetId="6" r:id="rId6"/>
    <sheet name="LRTAK" sheetId="7" r:id="rId7"/>
  </sheets>
  <calcPr calcId="191029"/>
</workbook>
</file>

<file path=xl/calcChain.xml><?xml version="1.0" encoding="utf-8"?>
<calcChain xmlns="http://schemas.openxmlformats.org/spreadsheetml/2006/main">
  <c r="K116" i="7" l="1"/>
  <c r="J116" i="7"/>
  <c r="I116" i="7"/>
  <c r="H116" i="7"/>
  <c r="G116" i="7"/>
  <c r="F116" i="7"/>
  <c r="E116" i="7"/>
  <c r="K14" i="7"/>
  <c r="J14" i="7"/>
  <c r="I14" i="7"/>
  <c r="H14" i="7"/>
  <c r="G14" i="7"/>
  <c r="F14" i="7"/>
  <c r="E14" i="7"/>
  <c r="C11" i="7"/>
  <c r="C7" i="7"/>
  <c r="I23" i="6"/>
  <c r="I22" i="6"/>
  <c r="H21" i="6"/>
  <c r="G21" i="6"/>
  <c r="F21" i="6"/>
  <c r="E21" i="6"/>
  <c r="I20" i="6"/>
  <c r="I19" i="6"/>
  <c r="H18" i="6"/>
  <c r="G18" i="6"/>
  <c r="F18" i="6"/>
  <c r="E18" i="6"/>
  <c r="I17" i="6"/>
  <c r="I16" i="6"/>
  <c r="I15" i="6"/>
  <c r="H15" i="6"/>
  <c r="G15" i="6"/>
  <c r="F15" i="6"/>
  <c r="E15" i="6"/>
  <c r="I14" i="6"/>
  <c r="G14" i="6"/>
  <c r="E14" i="6"/>
  <c r="C11" i="6"/>
  <c r="C7" i="6"/>
  <c r="L116" i="5"/>
  <c r="K116" i="5"/>
  <c r="J116" i="5"/>
  <c r="I116" i="5"/>
  <c r="H116" i="5"/>
  <c r="G116" i="5"/>
  <c r="F116" i="5"/>
  <c r="E116" i="5"/>
  <c r="Q115" i="5"/>
  <c r="P115" i="5"/>
  <c r="O115" i="5"/>
  <c r="H115" i="5"/>
  <c r="N115" i="5" s="1"/>
  <c r="G115" i="5"/>
  <c r="M115" i="5" s="1"/>
  <c r="Q114" i="5"/>
  <c r="P114" i="5"/>
  <c r="O114" i="5"/>
  <c r="N114" i="5"/>
  <c r="H114" i="5"/>
  <c r="G114" i="5"/>
  <c r="M114" i="5" s="1"/>
  <c r="Q113" i="5"/>
  <c r="P113" i="5"/>
  <c r="O113" i="5"/>
  <c r="N113" i="5"/>
  <c r="M113" i="5"/>
  <c r="H113" i="5"/>
  <c r="G113" i="5"/>
  <c r="Q112" i="5"/>
  <c r="P112" i="5"/>
  <c r="O112" i="5"/>
  <c r="H112" i="5"/>
  <c r="Q111" i="5"/>
  <c r="P111" i="5"/>
  <c r="O111" i="5"/>
  <c r="H111" i="5"/>
  <c r="N111" i="5" s="1"/>
  <c r="G111" i="5"/>
  <c r="M111" i="5" s="1"/>
  <c r="Q110" i="5"/>
  <c r="P110" i="5"/>
  <c r="O110" i="5"/>
  <c r="N110" i="5"/>
  <c r="H110" i="5"/>
  <c r="G110" i="5"/>
  <c r="M110" i="5" s="1"/>
  <c r="Q109" i="5"/>
  <c r="P109" i="5"/>
  <c r="O109" i="5"/>
  <c r="N109" i="5"/>
  <c r="M109" i="5"/>
  <c r="H109" i="5"/>
  <c r="G109" i="5"/>
  <c r="Q108" i="5"/>
  <c r="P108" i="5"/>
  <c r="O108" i="5"/>
  <c r="H108" i="5"/>
  <c r="Q107" i="5"/>
  <c r="P107" i="5"/>
  <c r="O107" i="5"/>
  <c r="H107" i="5"/>
  <c r="N107" i="5" s="1"/>
  <c r="G107" i="5"/>
  <c r="M107" i="5" s="1"/>
  <c r="Q106" i="5"/>
  <c r="P106" i="5"/>
  <c r="O106" i="5"/>
  <c r="N106" i="5"/>
  <c r="H106" i="5"/>
  <c r="G106" i="5"/>
  <c r="M106" i="5" s="1"/>
  <c r="Q105" i="5"/>
  <c r="P105" i="5"/>
  <c r="O105" i="5"/>
  <c r="N105" i="5"/>
  <c r="M105" i="5"/>
  <c r="H105" i="5"/>
  <c r="G105" i="5"/>
  <c r="Q104" i="5"/>
  <c r="P104" i="5"/>
  <c r="O104" i="5"/>
  <c r="H104" i="5"/>
  <c r="Q103" i="5"/>
  <c r="P103" i="5"/>
  <c r="O103" i="5"/>
  <c r="H103" i="5"/>
  <c r="N103" i="5" s="1"/>
  <c r="G103" i="5"/>
  <c r="M103" i="5" s="1"/>
  <c r="Q102" i="5"/>
  <c r="P102" i="5"/>
  <c r="O102" i="5"/>
  <c r="N102" i="5"/>
  <c r="H102" i="5"/>
  <c r="G102" i="5"/>
  <c r="M102" i="5" s="1"/>
  <c r="Q101" i="5"/>
  <c r="P101" i="5"/>
  <c r="O101" i="5"/>
  <c r="N101" i="5"/>
  <c r="M101" i="5"/>
  <c r="H101" i="5"/>
  <c r="G101" i="5"/>
  <c r="Q100" i="5"/>
  <c r="P100" i="5"/>
  <c r="O100" i="5"/>
  <c r="H100" i="5"/>
  <c r="Q99" i="5"/>
  <c r="P99" i="5"/>
  <c r="O99" i="5"/>
  <c r="H99" i="5"/>
  <c r="N99" i="5" s="1"/>
  <c r="G99" i="5"/>
  <c r="M99" i="5" s="1"/>
  <c r="Q98" i="5"/>
  <c r="P98" i="5"/>
  <c r="O98" i="5"/>
  <c r="N98" i="5"/>
  <c r="H98" i="5"/>
  <c r="G98" i="5"/>
  <c r="M98" i="5" s="1"/>
  <c r="Q97" i="5"/>
  <c r="P97" i="5"/>
  <c r="O97" i="5"/>
  <c r="N97" i="5"/>
  <c r="M97" i="5"/>
  <c r="H97" i="5"/>
  <c r="G97" i="5"/>
  <c r="Q96" i="5"/>
  <c r="P96" i="5"/>
  <c r="O96" i="5"/>
  <c r="H96" i="5"/>
  <c r="Q95" i="5"/>
  <c r="P95" i="5"/>
  <c r="O95" i="5"/>
  <c r="H95" i="5"/>
  <c r="N95" i="5" s="1"/>
  <c r="G95" i="5"/>
  <c r="M95" i="5" s="1"/>
  <c r="Q94" i="5"/>
  <c r="P94" i="5"/>
  <c r="O94" i="5"/>
  <c r="N94" i="5"/>
  <c r="H94" i="5"/>
  <c r="G94" i="5"/>
  <c r="M94" i="5" s="1"/>
  <c r="Q93" i="5"/>
  <c r="P93" i="5"/>
  <c r="O93" i="5"/>
  <c r="N93" i="5"/>
  <c r="M93" i="5"/>
  <c r="H93" i="5"/>
  <c r="G93" i="5"/>
  <c r="Q92" i="5"/>
  <c r="P92" i="5"/>
  <c r="O92" i="5"/>
  <c r="H92" i="5"/>
  <c r="Q91" i="5"/>
  <c r="P91" i="5"/>
  <c r="O91" i="5"/>
  <c r="H91" i="5"/>
  <c r="N91" i="5" s="1"/>
  <c r="Q90" i="5"/>
  <c r="P90" i="5"/>
  <c r="O90" i="5"/>
  <c r="N90" i="5"/>
  <c r="H90" i="5"/>
  <c r="G90" i="5"/>
  <c r="M90" i="5" s="1"/>
  <c r="Q89" i="5"/>
  <c r="P89" i="5"/>
  <c r="O89" i="5"/>
  <c r="N89" i="5"/>
  <c r="M89" i="5"/>
  <c r="H89" i="5"/>
  <c r="G89" i="5"/>
  <c r="Q88" i="5"/>
  <c r="P88" i="5"/>
  <c r="O88" i="5"/>
  <c r="H88" i="5"/>
  <c r="Q87" i="5"/>
  <c r="P87" i="5"/>
  <c r="O87" i="5"/>
  <c r="H87" i="5"/>
  <c r="N87" i="5" s="1"/>
  <c r="G87" i="5"/>
  <c r="M87" i="5" s="1"/>
  <c r="Q86" i="5"/>
  <c r="P86" i="5"/>
  <c r="O86" i="5"/>
  <c r="N86" i="5"/>
  <c r="H86" i="5"/>
  <c r="G86" i="5"/>
  <c r="M86" i="5" s="1"/>
  <c r="Q85" i="5"/>
  <c r="P85" i="5"/>
  <c r="O85" i="5"/>
  <c r="N85" i="5"/>
  <c r="M85" i="5"/>
  <c r="H85" i="5"/>
  <c r="G85" i="5"/>
  <c r="Q84" i="5"/>
  <c r="P84" i="5"/>
  <c r="O84" i="5"/>
  <c r="H84" i="5"/>
  <c r="Q83" i="5"/>
  <c r="P83" i="5"/>
  <c r="O83" i="5"/>
  <c r="H83" i="5"/>
  <c r="N83" i="5" s="1"/>
  <c r="Q82" i="5"/>
  <c r="P82" i="5"/>
  <c r="O82" i="5"/>
  <c r="N82" i="5"/>
  <c r="H82" i="5"/>
  <c r="G82" i="5"/>
  <c r="M82" i="5" s="1"/>
  <c r="Q81" i="5"/>
  <c r="P81" i="5"/>
  <c r="O81" i="5"/>
  <c r="N81" i="5"/>
  <c r="M81" i="5"/>
  <c r="H81" i="5"/>
  <c r="G81" i="5"/>
  <c r="Q80" i="5"/>
  <c r="P80" i="5"/>
  <c r="O80" i="5"/>
  <c r="H80" i="5"/>
  <c r="Q79" i="5"/>
  <c r="P79" i="5"/>
  <c r="O79" i="5"/>
  <c r="H79" i="5"/>
  <c r="N79" i="5" s="1"/>
  <c r="G79" i="5"/>
  <c r="M79" i="5" s="1"/>
  <c r="Q78" i="5"/>
  <c r="P78" i="5"/>
  <c r="O78" i="5"/>
  <c r="N78" i="5"/>
  <c r="H78" i="5"/>
  <c r="G78" i="5"/>
  <c r="M78" i="5" s="1"/>
  <c r="Q77" i="5"/>
  <c r="P77" i="5"/>
  <c r="O77" i="5"/>
  <c r="N77" i="5"/>
  <c r="M77" i="5"/>
  <c r="H77" i="5"/>
  <c r="G77" i="5"/>
  <c r="Q76" i="5"/>
  <c r="P76" i="5"/>
  <c r="O76" i="5"/>
  <c r="H76" i="5"/>
  <c r="Q75" i="5"/>
  <c r="P75" i="5"/>
  <c r="O75" i="5"/>
  <c r="H75" i="5"/>
  <c r="N75" i="5" s="1"/>
  <c r="Q74" i="5"/>
  <c r="P74" i="5"/>
  <c r="O74" i="5"/>
  <c r="N74" i="5"/>
  <c r="H74" i="5"/>
  <c r="G74" i="5"/>
  <c r="M74" i="5" s="1"/>
  <c r="Q73" i="5"/>
  <c r="P73" i="5"/>
  <c r="O73" i="5"/>
  <c r="N73" i="5"/>
  <c r="M73" i="5"/>
  <c r="H73" i="5"/>
  <c r="G73" i="5"/>
  <c r="Q72" i="5"/>
  <c r="P72" i="5"/>
  <c r="O72" i="5"/>
  <c r="H72" i="5"/>
  <c r="Q71" i="5"/>
  <c r="P71" i="5"/>
  <c r="O71" i="5"/>
  <c r="H71" i="5"/>
  <c r="N71" i="5" s="1"/>
  <c r="G71" i="5"/>
  <c r="M71" i="5" s="1"/>
  <c r="Q70" i="5"/>
  <c r="P70" i="5"/>
  <c r="O70" i="5"/>
  <c r="N70" i="5"/>
  <c r="H70" i="5"/>
  <c r="G70" i="5"/>
  <c r="M70" i="5" s="1"/>
  <c r="Q69" i="5"/>
  <c r="P69" i="5"/>
  <c r="O69" i="5"/>
  <c r="N69" i="5"/>
  <c r="M69" i="5"/>
  <c r="H69" i="5"/>
  <c r="G69" i="5"/>
  <c r="Q68" i="5"/>
  <c r="P68" i="5"/>
  <c r="O68" i="5"/>
  <c r="H68" i="5"/>
  <c r="Q67" i="5"/>
  <c r="P67" i="5"/>
  <c r="O67" i="5"/>
  <c r="H67" i="5"/>
  <c r="N67" i="5" s="1"/>
  <c r="Q66" i="5"/>
  <c r="P66" i="5"/>
  <c r="O66" i="5"/>
  <c r="N66" i="5"/>
  <c r="H66" i="5"/>
  <c r="G66" i="5"/>
  <c r="M66" i="5" s="1"/>
  <c r="Q65" i="5"/>
  <c r="P65" i="5"/>
  <c r="O65" i="5"/>
  <c r="N65" i="5"/>
  <c r="M65" i="5"/>
  <c r="H65" i="5"/>
  <c r="G65" i="5"/>
  <c r="Q64" i="5"/>
  <c r="P64" i="5"/>
  <c r="O64" i="5"/>
  <c r="H64" i="5"/>
  <c r="Q63" i="5"/>
  <c r="P63" i="5"/>
  <c r="O63" i="5"/>
  <c r="H63" i="5"/>
  <c r="N63" i="5" s="1"/>
  <c r="G63" i="5"/>
  <c r="M63" i="5" s="1"/>
  <c r="Q62" i="5"/>
  <c r="P62" i="5"/>
  <c r="O62" i="5"/>
  <c r="N62" i="5"/>
  <c r="H62" i="5"/>
  <c r="G62" i="5"/>
  <c r="M62" i="5" s="1"/>
  <c r="Q61" i="5"/>
  <c r="P61" i="5"/>
  <c r="O61" i="5"/>
  <c r="N61" i="5"/>
  <c r="M61" i="5"/>
  <c r="H61" i="5"/>
  <c r="G61" i="5"/>
  <c r="Q60" i="5"/>
  <c r="P60" i="5"/>
  <c r="O60" i="5"/>
  <c r="H60" i="5"/>
  <c r="Q59" i="5"/>
  <c r="P59" i="5"/>
  <c r="O59" i="5"/>
  <c r="H59" i="5"/>
  <c r="N59" i="5" s="1"/>
  <c r="Q58" i="5"/>
  <c r="P58" i="5"/>
  <c r="O58" i="5"/>
  <c r="N58" i="5"/>
  <c r="H58" i="5"/>
  <c r="G58" i="5"/>
  <c r="M58" i="5" s="1"/>
  <c r="Q57" i="5"/>
  <c r="P57" i="5"/>
  <c r="O57" i="5"/>
  <c r="N57" i="5"/>
  <c r="M57" i="5"/>
  <c r="H57" i="5"/>
  <c r="G57" i="5"/>
  <c r="Q56" i="5"/>
  <c r="P56" i="5"/>
  <c r="O56" i="5"/>
  <c r="H56" i="5"/>
  <c r="Q55" i="5"/>
  <c r="P55" i="5"/>
  <c r="O55" i="5"/>
  <c r="H55" i="5"/>
  <c r="N55" i="5" s="1"/>
  <c r="G55" i="5"/>
  <c r="M55" i="5" s="1"/>
  <c r="Q54" i="5"/>
  <c r="P54" i="5"/>
  <c r="O54" i="5"/>
  <c r="N54" i="5"/>
  <c r="H54" i="5"/>
  <c r="G54" i="5"/>
  <c r="M54" i="5" s="1"/>
  <c r="Q53" i="5"/>
  <c r="P53" i="5"/>
  <c r="O53" i="5"/>
  <c r="N53" i="5"/>
  <c r="M53" i="5"/>
  <c r="H53" i="5"/>
  <c r="G53" i="5"/>
  <c r="Q52" i="5"/>
  <c r="P52" i="5"/>
  <c r="O52" i="5"/>
  <c r="H52" i="5"/>
  <c r="Q51" i="5"/>
  <c r="P51" i="5"/>
  <c r="O51" i="5"/>
  <c r="H51" i="5"/>
  <c r="N51" i="5" s="1"/>
  <c r="Q50" i="5"/>
  <c r="P50" i="5"/>
  <c r="O50" i="5"/>
  <c r="N50" i="5"/>
  <c r="H50" i="5"/>
  <c r="G50" i="5"/>
  <c r="M50" i="5" s="1"/>
  <c r="Q49" i="5"/>
  <c r="P49" i="5"/>
  <c r="O49" i="5"/>
  <c r="N49" i="5"/>
  <c r="M49" i="5"/>
  <c r="H49" i="5"/>
  <c r="G49" i="5"/>
  <c r="Q48" i="5"/>
  <c r="P48" i="5"/>
  <c r="O48" i="5"/>
  <c r="H48" i="5"/>
  <c r="Q47" i="5"/>
  <c r="P47" i="5"/>
  <c r="O47" i="5"/>
  <c r="H47" i="5"/>
  <c r="N47" i="5" s="1"/>
  <c r="G47" i="5"/>
  <c r="M47" i="5" s="1"/>
  <c r="Q46" i="5"/>
  <c r="P46" i="5"/>
  <c r="O46" i="5"/>
  <c r="N46" i="5"/>
  <c r="H46" i="5"/>
  <c r="G46" i="5"/>
  <c r="M46" i="5" s="1"/>
  <c r="Q45" i="5"/>
  <c r="P45" i="5"/>
  <c r="O45" i="5"/>
  <c r="N45" i="5"/>
  <c r="M45" i="5"/>
  <c r="H45" i="5"/>
  <c r="G45" i="5"/>
  <c r="Q44" i="5"/>
  <c r="P44" i="5"/>
  <c r="O44" i="5"/>
  <c r="H44" i="5"/>
  <c r="Q43" i="5"/>
  <c r="P43" i="5"/>
  <c r="O43" i="5"/>
  <c r="H43" i="5"/>
  <c r="N43" i="5" s="1"/>
  <c r="Q42" i="5"/>
  <c r="P42" i="5"/>
  <c r="O42" i="5"/>
  <c r="N42" i="5"/>
  <c r="H42" i="5"/>
  <c r="G42" i="5"/>
  <c r="M42" i="5" s="1"/>
  <c r="Q41" i="5"/>
  <c r="P41" i="5"/>
  <c r="O41" i="5"/>
  <c r="N41" i="5"/>
  <c r="M41" i="5"/>
  <c r="H41" i="5"/>
  <c r="G41" i="5"/>
  <c r="Q40" i="5"/>
  <c r="P40" i="5"/>
  <c r="O40" i="5"/>
  <c r="H40" i="5"/>
  <c r="Q39" i="5"/>
  <c r="P39" i="5"/>
  <c r="O39" i="5"/>
  <c r="H39" i="5"/>
  <c r="N39" i="5" s="1"/>
  <c r="G39" i="5"/>
  <c r="M39" i="5" s="1"/>
  <c r="Q38" i="5"/>
  <c r="P38" i="5"/>
  <c r="O38" i="5"/>
  <c r="N38" i="5"/>
  <c r="H38" i="5"/>
  <c r="G38" i="5"/>
  <c r="M38" i="5" s="1"/>
  <c r="Q37" i="5"/>
  <c r="P37" i="5"/>
  <c r="O37" i="5"/>
  <c r="N37" i="5"/>
  <c r="M37" i="5"/>
  <c r="H37" i="5"/>
  <c r="G37" i="5"/>
  <c r="Q36" i="5"/>
  <c r="P36" i="5"/>
  <c r="O36" i="5"/>
  <c r="H36" i="5"/>
  <c r="Q35" i="5"/>
  <c r="P35" i="5"/>
  <c r="O35" i="5"/>
  <c r="H35" i="5"/>
  <c r="N35" i="5" s="1"/>
  <c r="Q34" i="5"/>
  <c r="P34" i="5"/>
  <c r="O34" i="5"/>
  <c r="N34" i="5"/>
  <c r="H34" i="5"/>
  <c r="G34" i="5"/>
  <c r="M34" i="5" s="1"/>
  <c r="Q33" i="5"/>
  <c r="P33" i="5"/>
  <c r="O33" i="5"/>
  <c r="N33" i="5"/>
  <c r="M33" i="5"/>
  <c r="H33" i="5"/>
  <c r="G33" i="5"/>
  <c r="Q32" i="5"/>
  <c r="P32" i="5"/>
  <c r="O32" i="5"/>
  <c r="H32" i="5"/>
  <c r="Q31" i="5"/>
  <c r="P31" i="5"/>
  <c r="O31" i="5"/>
  <c r="H31" i="5"/>
  <c r="N31" i="5" s="1"/>
  <c r="G31" i="5"/>
  <c r="M31" i="5" s="1"/>
  <c r="Q30" i="5"/>
  <c r="P30" i="5"/>
  <c r="O30" i="5"/>
  <c r="N30" i="5"/>
  <c r="H30" i="5"/>
  <c r="G30" i="5"/>
  <c r="M30" i="5" s="1"/>
  <c r="Q29" i="5"/>
  <c r="P29" i="5"/>
  <c r="O29" i="5"/>
  <c r="N29" i="5"/>
  <c r="M29" i="5"/>
  <c r="H29" i="5"/>
  <c r="G29" i="5"/>
  <c r="Q28" i="5"/>
  <c r="P28" i="5"/>
  <c r="O28" i="5"/>
  <c r="H28" i="5"/>
  <c r="Q27" i="5"/>
  <c r="P27" i="5"/>
  <c r="O27" i="5"/>
  <c r="H27" i="5"/>
  <c r="N27" i="5" s="1"/>
  <c r="Q26" i="5"/>
  <c r="P26" i="5"/>
  <c r="O26" i="5"/>
  <c r="N26" i="5"/>
  <c r="H26" i="5"/>
  <c r="G26" i="5"/>
  <c r="M26" i="5" s="1"/>
  <c r="Q25" i="5"/>
  <c r="P25" i="5"/>
  <c r="O25" i="5"/>
  <c r="N25" i="5"/>
  <c r="M25" i="5"/>
  <c r="H25" i="5"/>
  <c r="G25" i="5"/>
  <c r="Q24" i="5"/>
  <c r="P24" i="5"/>
  <c r="O24" i="5"/>
  <c r="H24" i="5"/>
  <c r="Q23" i="5"/>
  <c r="P23" i="5"/>
  <c r="O23" i="5"/>
  <c r="H23" i="5"/>
  <c r="N23" i="5" s="1"/>
  <c r="G23" i="5"/>
  <c r="M23" i="5" s="1"/>
  <c r="Q22" i="5"/>
  <c r="P22" i="5"/>
  <c r="O22" i="5"/>
  <c r="N22" i="5"/>
  <c r="H22" i="5"/>
  <c r="G22" i="5"/>
  <c r="M22" i="5" s="1"/>
  <c r="Q21" i="5"/>
  <c r="P21" i="5"/>
  <c r="O21" i="5"/>
  <c r="N21" i="5"/>
  <c r="M21" i="5"/>
  <c r="H21" i="5"/>
  <c r="G21" i="5"/>
  <c r="Q20" i="5"/>
  <c r="P20" i="5"/>
  <c r="O20" i="5"/>
  <c r="H20" i="5"/>
  <c r="Q19" i="5"/>
  <c r="P19" i="5"/>
  <c r="O19" i="5"/>
  <c r="H19" i="5"/>
  <c r="N19" i="5" s="1"/>
  <c r="Q18" i="5"/>
  <c r="P18" i="5"/>
  <c r="O18" i="5"/>
  <c r="O116" i="5" s="1"/>
  <c r="N18" i="5"/>
  <c r="H18" i="5"/>
  <c r="G18" i="5"/>
  <c r="M18" i="5" s="1"/>
  <c r="Q17" i="5"/>
  <c r="P17" i="5"/>
  <c r="O17" i="5"/>
  <c r="N17" i="5"/>
  <c r="M17" i="5"/>
  <c r="H17" i="5"/>
  <c r="G17" i="5"/>
  <c r="Q16" i="5"/>
  <c r="P16" i="5"/>
  <c r="P116" i="5" s="1"/>
  <c r="O16" i="5"/>
  <c r="H16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C11" i="5"/>
  <c r="C7" i="5"/>
  <c r="G18" i="4"/>
  <c r="F18" i="4"/>
  <c r="H16" i="4"/>
  <c r="H14" i="4"/>
  <c r="G14" i="4"/>
  <c r="F14" i="4"/>
  <c r="E14" i="4"/>
  <c r="C11" i="4"/>
  <c r="C7" i="4"/>
  <c r="G11" i="3"/>
  <c r="G10" i="3"/>
  <c r="G7" i="3" s="1"/>
  <c r="C33" i="2"/>
  <c r="C32" i="2"/>
  <c r="C31" i="2"/>
  <c r="C30" i="2"/>
  <c r="C22" i="2"/>
  <c r="D13" i="1"/>
  <c r="G4" i="1"/>
  <c r="D12" i="1" s="1"/>
  <c r="G3" i="1"/>
  <c r="E17" i="4" l="1"/>
  <c r="G20" i="5"/>
  <c r="M20" i="5" s="1"/>
  <c r="N20" i="5"/>
  <c r="G36" i="5"/>
  <c r="M36" i="5" s="1"/>
  <c r="N36" i="5"/>
  <c r="G52" i="5"/>
  <c r="M52" i="5" s="1"/>
  <c r="N52" i="5"/>
  <c r="G68" i="5"/>
  <c r="M68" i="5" s="1"/>
  <c r="N68" i="5"/>
  <c r="G84" i="5"/>
  <c r="M84" i="5" s="1"/>
  <c r="N84" i="5"/>
  <c r="G16" i="5"/>
  <c r="M16" i="5" s="1"/>
  <c r="N16" i="5"/>
  <c r="Q116" i="5"/>
  <c r="G27" i="5"/>
  <c r="M27" i="5" s="1"/>
  <c r="G32" i="5"/>
  <c r="M32" i="5" s="1"/>
  <c r="N32" i="5"/>
  <c r="G43" i="5"/>
  <c r="M43" i="5" s="1"/>
  <c r="G48" i="5"/>
  <c r="M48" i="5" s="1"/>
  <c r="N48" i="5"/>
  <c r="G59" i="5"/>
  <c r="M59" i="5" s="1"/>
  <c r="G64" i="5"/>
  <c r="M64" i="5" s="1"/>
  <c r="N64" i="5"/>
  <c r="G75" i="5"/>
  <c r="M75" i="5" s="1"/>
  <c r="G80" i="5"/>
  <c r="M80" i="5" s="1"/>
  <c r="N80" i="5"/>
  <c r="G91" i="5"/>
  <c r="M91" i="5" s="1"/>
  <c r="G96" i="5"/>
  <c r="M96" i="5" s="1"/>
  <c r="N96" i="5"/>
  <c r="G104" i="5"/>
  <c r="M104" i="5" s="1"/>
  <c r="N104" i="5"/>
  <c r="G112" i="5"/>
  <c r="M112" i="5" s="1"/>
  <c r="N112" i="5"/>
  <c r="G28" i="5"/>
  <c r="M28" i="5" s="1"/>
  <c r="N28" i="5"/>
  <c r="G44" i="5"/>
  <c r="M44" i="5" s="1"/>
  <c r="N44" i="5"/>
  <c r="G60" i="5"/>
  <c r="M60" i="5" s="1"/>
  <c r="N60" i="5"/>
  <c r="G76" i="5"/>
  <c r="M76" i="5" s="1"/>
  <c r="N76" i="5"/>
  <c r="G92" i="5"/>
  <c r="M92" i="5" s="1"/>
  <c r="N92" i="5"/>
  <c r="G19" i="5"/>
  <c r="M19" i="5" s="1"/>
  <c r="G24" i="5"/>
  <c r="M24" i="5" s="1"/>
  <c r="N24" i="5"/>
  <c r="G35" i="5"/>
  <c r="M35" i="5" s="1"/>
  <c r="G40" i="5"/>
  <c r="M40" i="5" s="1"/>
  <c r="N40" i="5"/>
  <c r="G51" i="5"/>
  <c r="M51" i="5" s="1"/>
  <c r="G56" i="5"/>
  <c r="M56" i="5" s="1"/>
  <c r="N56" i="5"/>
  <c r="G67" i="5"/>
  <c r="M67" i="5" s="1"/>
  <c r="G72" i="5"/>
  <c r="M72" i="5" s="1"/>
  <c r="N72" i="5"/>
  <c r="G83" i="5"/>
  <c r="M83" i="5" s="1"/>
  <c r="G88" i="5"/>
  <c r="M88" i="5" s="1"/>
  <c r="N88" i="5"/>
  <c r="G100" i="5"/>
  <c r="M100" i="5" s="1"/>
  <c r="N100" i="5"/>
  <c r="G108" i="5"/>
  <c r="M108" i="5" s="1"/>
  <c r="N108" i="5"/>
  <c r="N116" i="5" l="1"/>
  <c r="H17" i="4"/>
  <c r="H18" i="4" s="1"/>
  <c r="E18" i="4"/>
  <c r="M1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D5" authorId="0" shapeId="0" xr:uid="{00000000-0006-0000-0000-000001000000}">
      <text>
        <r>
          <rPr>
            <sz val="11"/>
            <rFont val="Calibri"/>
          </rPr>
          <t>Format Tanggal: DD-MMM-YYYY</t>
        </r>
      </text>
    </comment>
    <comment ref="D6" authorId="0" shapeId="0" xr:uid="{00000000-0006-0000-0000-000002000000}">
      <text>
        <r>
          <rPr>
            <sz val="11"/>
            <rFont val="Calibri"/>
          </rPr>
          <t>Mohon pastikan kode perusahaan anda kepada petugas/pejabat OJK yang terkait</t>
        </r>
      </text>
    </comment>
    <comment ref="D8" authorId="0" shapeId="0" xr:uid="{00000000-0006-0000-0000-000003000000}">
      <text>
        <r>
          <rPr>
            <sz val="11"/>
            <rFont val="Calibri"/>
          </rPr>
          <t>Diisi dengan domisili sesuai dengan akta untuk perusahaan/pihak institusi, atau kartu identitas untuk pihak individu</t>
        </r>
      </text>
    </comment>
    <comment ref="D11" authorId="0" shapeId="0" xr:uid="{00000000-0006-0000-0000-000004000000}">
      <text>
        <r>
          <rPr>
            <sz val="11"/>
            <rFont val="Calibri"/>
          </rPr>
          <t>Format Tanggal: DD-MMM-YYYY</t>
        </r>
      </text>
    </comment>
    <comment ref="D15" authorId="0" shapeId="0" xr:uid="{00000000-0006-0000-0000-000005000000}">
      <text>
        <r>
          <rPr>
            <sz val="11"/>
            <rFont val="Calibri"/>
          </rPr>
          <t>Penanggung jawab dapat diisi oleh pihak yang bertanggung jawab pada satu entitas/individu (diri sendiri)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4" authorId="0" shapeId="0" xr:uid="{6B646B7C-7E4A-4AB1-8D0B-898B9792DAB0}">
      <text>
        <r>
          <rPr>
            <b/>
            <sz val="9"/>
            <color indexed="81"/>
            <rFont val="Tahoma"/>
            <charset val="1"/>
          </rPr>
          <t xml:space="preserve">Kode Aset Keuangan Digital dan Nama Aset Keuangan Digital tidak diinput berulang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4" authorId="0" shapeId="0" xr:uid="{72D9349A-615B-45E8-AFF4-7D4354594438}">
      <text>
        <r>
          <rPr>
            <b/>
            <sz val="9"/>
            <color indexed="81"/>
            <rFont val="Tahoma"/>
            <charset val="1"/>
          </rPr>
          <t xml:space="preserve">Kode Aset Keuangan Digital dan Nama Aset Keuangan Digital tidak diinput berulang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<sst xmlns="http://schemas.openxmlformats.org/spreadsheetml/2006/main" count="691" uniqueCount="171">
  <si>
    <t>H</t>
  </si>
  <si>
    <t>LHPAKDAK</t>
  </si>
  <si>
    <t>Data Umum</t>
  </si>
  <si>
    <t>Januari</t>
  </si>
  <si>
    <t>PGAKD</t>
  </si>
  <si>
    <t>Versi Laporan</t>
  </si>
  <si>
    <t>1/8/2025 2:37:33 PM</t>
  </si>
  <si>
    <t>Februari</t>
  </si>
  <si>
    <t>1</t>
  </si>
  <si>
    <t>Tanggal Pelaporan</t>
  </si>
  <si>
    <t>Maret</t>
  </si>
  <si>
    <t>N</t>
  </si>
  <si>
    <t>Kode Perusahaan / Pihak</t>
  </si>
  <si>
    <t>April</t>
  </si>
  <si>
    <t>Nama Perusahaan / Pihak</t>
  </si>
  <si>
    <t>Mei</t>
  </si>
  <si>
    <t>Alamat Perusahaan / Pihak</t>
  </si>
  <si>
    <t>Juni</t>
  </si>
  <si>
    <t>Juli</t>
  </si>
  <si>
    <t>Agustus</t>
  </si>
  <si>
    <t>Periode Pelaporan</t>
  </si>
  <si>
    <t>September</t>
  </si>
  <si>
    <t>Bulan Pelaporan</t>
  </si>
  <si>
    <t>Oktober</t>
  </si>
  <si>
    <t>Tahun Fiskal</t>
  </si>
  <si>
    <t>November</t>
  </si>
  <si>
    <t>Jenis Periode Pelaporan</t>
  </si>
  <si>
    <t>Laporan Harian</t>
  </si>
  <si>
    <t>Desember</t>
  </si>
  <si>
    <t>Nama Direksi / Penanggung Jawab</t>
  </si>
  <si>
    <t>Jabatan Direksi / Penanggung Jawab</t>
  </si>
  <si>
    <t>K e p a d a</t>
  </si>
  <si>
    <t>Yth.Kepala Departemen Pengawasan  Aset Keuangan Digital dan Aset Kripto</t>
  </si>
  <si>
    <t>Otoritas Jasa Keuangan</t>
  </si>
  <si>
    <t>Aset Keuangan Digital dan Aset Kripto</t>
  </si>
  <si>
    <t>Gedung Soemitro Djojohadikusumo</t>
  </si>
  <si>
    <t>Jalan Lapangan Banteng Timur 2-4, Jakarta 10710, Indonesia</t>
  </si>
  <si>
    <t>LAPORAN HARIAN</t>
  </si>
  <si>
    <t xml:space="preserve">ASET KEUANGAN DIGITAL DAN ASET KRIPTO </t>
  </si>
  <si>
    <t>Status</t>
  </si>
  <si>
    <t>Status Validitas Laporan Secara Keseluruhan</t>
  </si>
  <si>
    <t>No</t>
  </si>
  <si>
    <t>Sheet</t>
  </si>
  <si>
    <t>Keterangan</t>
  </si>
  <si>
    <t>Formula</t>
  </si>
  <si>
    <t>LSTAKDKP</t>
  </si>
  <si>
    <t>Redundancy Nama Aset Digital dan Kode Aset Digital</t>
  </si>
  <si>
    <t>=SUMPRODUCT((LSTAKDKP!E16:E1000&lt;&gt;"")*(LSTAKDKP!F16:F1000&lt;&gt;"")*(COUNTIFS(LSTAKDKP!E16:E1000, LSTAKDKP!E16:E1000, LSTAKDKP!F16:F1000, LSTAKDKP!F16:F1000)&gt;1))=0</t>
  </si>
  <si>
    <t>LRTAK</t>
  </si>
  <si>
    <t>=SUMPRODUCT((LRTAK!E16:E1000&lt;&gt;"")*(LRTAK!F16:F1000&lt;&gt;"")*(COUNTIFS(LRTAK!E16:E1000, LRTAK!E16:E1000, LRTAK!F16:F1000, LRTAK!F16:F1000)&gt;1))=0</t>
  </si>
  <si>
    <t>LSDK</t>
  </si>
  <si>
    <t>PEDAGANG ASET KEUANGAN DIGITAL</t>
  </si>
  <si>
    <t>Form Saldo Dana Konsumen Harian</t>
  </si>
  <si>
    <t>Sesi</t>
  </si>
  <si>
    <t>2</t>
  </si>
  <si>
    <t>Total</t>
  </si>
  <si>
    <t>Form Saldo dan Transaksi Aset Keuangan Digital Konsumen dan Pedagang Harian</t>
  </si>
  <si>
    <t>Nomor Baris</t>
  </si>
  <si>
    <t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</si>
  <si>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</si>
  <si>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</si>
  <si>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</si>
  <si>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</si>
  <si>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</si>
  <si>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</si>
  <si>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</si>
  <si>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</si>
  <si>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</si>
  <si>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</si>
  <si>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</si>
  <si>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</si>
  <si>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</si>
  <si>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</si>
  <si>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</si>
  <si>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</si>
  <si>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</si>
  <si>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</si>
  <si>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</si>
  <si>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</si>
  <si>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</si>
  <si>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</si>
  <si>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</si>
  <si>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</si>
  <si>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</si>
  <si>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</si>
  <si>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</si>
  <si>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</si>
  <si>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</si>
  <si>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</si>
  <si>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</si>
  <si>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</si>
  <si>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</si>
  <si>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</si>
  <si>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</si>
  <si>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</si>
  <si>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</si>
  <si>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</si>
  <si>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</si>
  <si>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</si>
  <si>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</si>
  <si>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</si>
  <si>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</si>
  <si>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</si>
  <si>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</si>
  <si>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</si>
  <si>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</si>
  <si>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</si>
  <si>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</si>
  <si>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</si>
  <si>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</si>
  <si>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</si>
  <si>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</si>
  <si>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</si>
  <si>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</si>
  <si>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</si>
  <si>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</si>
  <si>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</si>
  <si>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</si>
  <si>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</si>
  <si>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</si>
  <si>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</si>
  <si>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</si>
  <si>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</si>
  <si>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</si>
  <si>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</si>
  <si>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</si>
  <si>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</si>
  <si>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</si>
  <si>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</si>
  <si>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</si>
  <si>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</si>
  <si>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</si>
  <si>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</si>
  <si>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</si>
  <si>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</si>
  <si>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</si>
  <si>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</si>
  <si>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</si>
  <si>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</si>
  <si>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</si>
  <si>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</si>
  <si>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</si>
  <si>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</si>
  <si>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</si>
  <si>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</si>
  <si>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</si>
  <si>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</si>
  <si>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</si>
  <si>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</si>
  <si>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</si>
  <si>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</si>
  <si>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</si>
  <si>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</si>
  <si>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</si>
  <si>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</si>
  <si>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</si>
  <si>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+ Baris</t>
  </si>
  <si>
    <t>100</t>
  </si>
  <si>
    <t>&lt;EOR&gt;</t>
  </si>
  <si>
    <t>LTAKDK</t>
  </si>
  <si>
    <t>Laporan Transaksi Aset Keuangan Digital Konsumen dan Pedagang Harian</t>
  </si>
  <si>
    <t>Uraian</t>
  </si>
  <si>
    <t>Total Pembelian Aset Keuangan Digital untuk Konsumen Individu</t>
  </si>
  <si>
    <t>Total Pembelian Aset Keuangan Digital untuk Konsumen Institusi</t>
  </si>
  <si>
    <t>Total Pembelian Aset Keuangan Digital untuk Pedagang sendiri</t>
  </si>
  <si>
    <t>Total Penjualan Aset Keuangan Digital untuk Konsumen Individu</t>
  </si>
  <si>
    <t>Total Penjualan Aset Keuangan Digital untuk Konsumen Institusi</t>
  </si>
  <si>
    <t>Total Penjualan Aset Keuangan Digital untuk Pedagang sendiri</t>
  </si>
  <si>
    <t>Total Transaksi On The Counter</t>
  </si>
  <si>
    <t>Total Transaksi Over The Counter</t>
  </si>
  <si>
    <t>Form Rekapitulasi Transaksi Harian per Aset Kripto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</si>
</sst>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0_);\(0\)"/>
    <numFmt numFmtId="166" formatCode="_(* #,##0.00_);_(* \(#,##0.00\);_(* &quot; - &quot;??_);_(@_)"/>
    <numFmt numFmtId="167" formatCode="_(* #,##0.00000000_);_(* \(#,##0.00000000\);_(* &quot; - &quot;??_);_(@_)"/>
    <numFmt numFmtId="168" formatCode="_(* #,##0_);_(* \(#,##0\);_(* &quot; - &quot;??_);_(@_)"/>
  </numFmts>
  <fonts count="13">
    <font>
      <sz val="11"/>
      <name val="Calibri"/>
    </font>
    <font>
      <b/>
      <sz val="11"/>
      <name val="Calibri"/>
    </font>
    <font>
      <b/>
      <sz val="16"/>
      <name val="Calibri"/>
    </font>
    <font>
      <sz val="11"/>
      <color rgb="FFFFFFFF"/>
      <name val="Calibri"/>
    </font>
    <font>
      <sz val="12"/>
      <name val="Calibri"/>
    </font>
    <font>
      <b/>
      <sz val="13"/>
      <name val="Calibri"/>
    </font>
    <font>
      <b/>
      <sz val="20"/>
      <name val="Calibri"/>
    </font>
    <font>
      <sz val="14"/>
      <name val="Calibri"/>
    </font>
    <font>
      <sz val="10"/>
      <name val="Calibri"/>
    </font>
    <font>
      <b/>
      <sz val="11"/>
      <color rgb="FF000000"/>
      <name val="Calibri"/>
    </font>
    <font>
      <sz val="11"/>
      <color rgb="FF80808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lightGrid">
        <fgColor rgb="FFFFFFFF"/>
        <bgColor rgb="FFD3D3D3"/>
      </patternFill>
    </fill>
  </fills>
  <borders count="10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hair">
        <color rgb="FFD3D3D3"/>
      </left>
      <right style="hair">
        <color rgb="FFD3D3D3"/>
      </right>
      <top/>
      <bottom style="hair">
        <color rgb="FFD3D3D3"/>
      </bottom>
      <diagonal/>
    </border>
    <border>
      <left/>
      <right/>
      <top/>
      <bottom style="hair">
        <color rgb="FF80808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2" fillId="3" borderId="0" xfId="0" applyFont="1" applyFill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3" borderId="0" xfId="0" applyFill="1" applyAlignment="1" applyProtection="1">
      <alignment vertical="top"/>
      <protection locked="0"/>
    </xf>
    <xf numFmtId="164" fontId="0" fillId="3" borderId="0" xfId="0" applyNumberFormat="1" applyFill="1" applyAlignment="1" applyProtection="1">
      <alignment vertical="top"/>
      <protection locked="0"/>
    </xf>
    <xf numFmtId="165" fontId="1" fillId="4" borderId="1" xfId="0" applyNumberFormat="1" applyFont="1" applyFill="1" applyBorder="1" applyAlignment="1">
      <alignment vertical="top"/>
    </xf>
    <xf numFmtId="0" fontId="0" fillId="5" borderId="0" xfId="0" applyFill="1" applyAlignment="1" applyProtection="1">
      <alignment vertical="top"/>
      <protection hidden="1"/>
    </xf>
    <xf numFmtId="0" fontId="3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8" fillId="3" borderId="0" xfId="0" applyFont="1" applyFill="1" applyAlignment="1">
      <alignment vertical="top"/>
    </xf>
    <xf numFmtId="166" fontId="8" fillId="6" borderId="0" xfId="0" applyNumberFormat="1" applyFont="1" applyFill="1" applyAlignment="1">
      <alignment horizontal="right" vertical="top"/>
    </xf>
    <xf numFmtId="167" fontId="8" fillId="6" borderId="0" xfId="0" applyNumberFormat="1" applyFont="1" applyFill="1" applyAlignment="1">
      <alignment horizontal="right" vertical="top"/>
    </xf>
    <xf numFmtId="0" fontId="8" fillId="6" borderId="0" xfId="0" applyFont="1" applyFill="1" applyAlignment="1">
      <alignment horizontal="left" vertical="top"/>
    </xf>
    <xf numFmtId="0" fontId="0" fillId="2" borderId="0" xfId="0" applyFill="1" applyAlignment="1" applyProtection="1">
      <alignment vertical="top"/>
      <protection locked="0"/>
    </xf>
    <xf numFmtId="167" fontId="8" fillId="6" borderId="0" xfId="0" applyNumberFormat="1" applyFont="1" applyFill="1" applyAlignment="1" applyProtection="1">
      <alignment horizontal="right" vertical="top"/>
      <protection locked="0"/>
    </xf>
    <xf numFmtId="166" fontId="8" fillId="6" borderId="0" xfId="0" applyNumberFormat="1" applyFont="1" applyFill="1" applyAlignment="1" applyProtection="1">
      <alignment horizontal="right" vertical="top"/>
      <protection locked="0"/>
    </xf>
    <xf numFmtId="0" fontId="9" fillId="5" borderId="0" xfId="0" applyFont="1" applyFill="1" applyAlignment="1" applyProtection="1">
      <alignment vertical="top"/>
      <protection locked="0"/>
    </xf>
    <xf numFmtId="0" fontId="10" fillId="2" borderId="0" xfId="0" applyFont="1" applyFill="1" applyAlignment="1">
      <alignment vertical="top"/>
    </xf>
    <xf numFmtId="168" fontId="8" fillId="6" borderId="0" xfId="0" applyNumberFormat="1" applyFont="1" applyFill="1" applyAlignment="1">
      <alignment horizontal="right" vertical="top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6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3" borderId="0" xfId="0" applyFont="1" applyFill="1" applyAlignment="1">
      <alignment horizontal="right" vertical="top" wrapText="1"/>
    </xf>
    <xf numFmtId="0" fontId="0" fillId="4" borderId="6" xfId="0" applyFill="1" applyBorder="1" applyAlignment="1">
      <alignment horizontal="center" vertical="top" wrapText="1"/>
    </xf>
    <xf numFmtId="0" fontId="0" fillId="4" borderId="7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8" xfId="0" applyFill="1" applyBorder="1" applyAlignment="1">
      <alignment vertical="top" wrapText="1"/>
    </xf>
    <xf numFmtId="0" fontId="0" fillId="4" borderId="6" xfId="0" applyFill="1" applyBorder="1" applyAlignment="1">
      <alignment horizontal="left" vertical="top" wrapText="1"/>
    </xf>
    <xf numFmtId="166" fontId="0" fillId="3" borderId="1" xfId="0" applyNumberFormat="1" applyFill="1" applyBorder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167" fontId="0" fillId="3" borderId="1" xfId="0" applyNumberFormat="1" applyFill="1" applyBorder="1" applyAlignment="1" applyProtection="1">
      <alignment vertical="top" wrapText="1"/>
      <protection locked="0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7" xfId="0" applyFill="1" applyBorder="1" applyAlignment="1" applyProtection="1">
      <alignment vertical="top" wrapText="1"/>
      <protection locked="0"/>
    </xf>
    <xf numFmtId="168" fontId="0" fillId="3" borderId="1" xfId="0" applyNumberFormat="1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4">
    <dxf>
      <fill>
        <patternFill patternType="solid">
          <bgColor rgb="FFFFC0CB"/>
        </patternFill>
      </fill>
    </dxf>
    <dxf>
      <fill>
        <patternFill patternType="solid">
          <bgColor rgb="FF90EE90"/>
        </patternFill>
      </fill>
    </dxf>
    <dxf>
      <fill>
        <patternFill patternType="solid">
          <bgColor rgb="FFFFC0CB"/>
        </patternFill>
      </fill>
    </dxf>
    <dxf>
      <fill>
        <patternFill patternType="solid">
          <bgColor rgb="FF90EE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showGridLines="0" workbookViewId="0">
      <selection activeCell="D5" sqref="D5"/>
    </sheetView>
  </sheetViews>
  <sheetFormatPr defaultRowHeight="15"/>
  <cols>
    <col min="1" max="1" width="9.140625" style="1" customWidth="1"/>
    <col min="2" max="2" width="1" style="1" customWidth="1"/>
    <col min="3" max="3" width="35" style="1" customWidth="1"/>
    <col min="4" max="4" width="42" style="1" customWidth="1"/>
    <col min="5" max="5" width="1" style="1" customWidth="1"/>
    <col min="6" max="6" width="9.140625" style="1" customWidth="1"/>
    <col min="7" max="9" width="9.140625" style="1" hidden="1" customWidth="1"/>
    <col min="10" max="10" width="9.140625" style="1" customWidth="1"/>
    <col min="11" max="16384" width="9.140625" style="1"/>
  </cols>
  <sheetData>
    <row r="2" spans="2:9" ht="5.0999999999999996" customHeight="1">
      <c r="B2" s="9" t="s">
        <v>0</v>
      </c>
      <c r="C2" s="2"/>
      <c r="D2" s="2"/>
      <c r="E2" s="2"/>
    </row>
    <row r="3" spans="2:9" ht="21">
      <c r="B3" s="9" t="s">
        <v>1</v>
      </c>
      <c r="C3" s="3" t="s">
        <v>2</v>
      </c>
      <c r="D3" s="2"/>
      <c r="E3" s="2"/>
      <c r="G3" s="8">
        <f>MONTH(D11)</f>
        <v>1</v>
      </c>
      <c r="H3" s="8">
        <v>1</v>
      </c>
      <c r="I3" s="8" t="s">
        <v>3</v>
      </c>
    </row>
    <row r="4" spans="2:9">
      <c r="B4" s="9" t="s">
        <v>4</v>
      </c>
      <c r="C4" s="4" t="s">
        <v>5</v>
      </c>
      <c r="D4" s="4" t="s">
        <v>6</v>
      </c>
      <c r="E4" s="2"/>
      <c r="G4" s="8" t="str">
        <f>VLOOKUP(G3,$H$3:$I$14,2,FALSE)</f>
        <v>Januari</v>
      </c>
      <c r="H4" s="8">
        <v>2</v>
      </c>
      <c r="I4" s="8" t="s">
        <v>7</v>
      </c>
    </row>
    <row r="5" spans="2:9">
      <c r="B5" s="9" t="s">
        <v>8</v>
      </c>
      <c r="C5" s="4" t="s">
        <v>9</v>
      </c>
      <c r="D5" s="6"/>
      <c r="E5" s="2"/>
      <c r="H5" s="8">
        <v>3</v>
      </c>
      <c r="I5" s="8" t="s">
        <v>10</v>
      </c>
    </row>
    <row r="6" spans="2:9">
      <c r="B6" s="9" t="s">
        <v>11</v>
      </c>
      <c r="C6" s="4" t="s">
        <v>12</v>
      </c>
      <c r="D6" s="5"/>
      <c r="E6" s="2"/>
      <c r="H6" s="8">
        <v>4</v>
      </c>
      <c r="I6" s="8" t="s">
        <v>13</v>
      </c>
    </row>
    <row r="7" spans="2:9">
      <c r="B7" s="2"/>
      <c r="C7" s="4" t="s">
        <v>14</v>
      </c>
      <c r="D7" s="5"/>
      <c r="E7" s="2"/>
      <c r="H7" s="8">
        <v>5</v>
      </c>
      <c r="I7" s="8" t="s">
        <v>15</v>
      </c>
    </row>
    <row r="8" spans="2:9">
      <c r="B8" s="2"/>
      <c r="C8" s="22" t="s">
        <v>16</v>
      </c>
      <c r="D8" s="5"/>
      <c r="E8" s="2"/>
      <c r="H8" s="8">
        <v>6</v>
      </c>
      <c r="I8" s="8" t="s">
        <v>17</v>
      </c>
    </row>
    <row r="9" spans="2:9">
      <c r="B9" s="2"/>
      <c r="C9" s="23" t="s">
        <v>16</v>
      </c>
      <c r="D9" s="5"/>
      <c r="E9" s="2"/>
      <c r="H9" s="8">
        <v>7</v>
      </c>
      <c r="I9" s="8" t="s">
        <v>18</v>
      </c>
    </row>
    <row r="10" spans="2:9">
      <c r="B10" s="2"/>
      <c r="C10" s="23" t="s">
        <v>16</v>
      </c>
      <c r="D10" s="5"/>
      <c r="E10" s="2"/>
      <c r="H10" s="8">
        <v>8</v>
      </c>
      <c r="I10" s="8" t="s">
        <v>19</v>
      </c>
    </row>
    <row r="11" spans="2:9">
      <c r="B11" s="2"/>
      <c r="C11" s="4" t="s">
        <v>20</v>
      </c>
      <c r="D11" s="6"/>
      <c r="E11" s="2"/>
      <c r="H11" s="8">
        <v>9</v>
      </c>
      <c r="I11" s="8" t="s">
        <v>21</v>
      </c>
    </row>
    <row r="12" spans="2:9">
      <c r="B12" s="2"/>
      <c r="C12" s="4" t="s">
        <v>22</v>
      </c>
      <c r="D12" s="4" t="str">
        <f>IF(ISERR(G4), "", G4)</f>
        <v>Januari</v>
      </c>
      <c r="E12" s="2"/>
      <c r="H12" s="8">
        <v>10</v>
      </c>
      <c r="I12" s="8" t="s">
        <v>23</v>
      </c>
    </row>
    <row r="13" spans="2:9">
      <c r="B13" s="2"/>
      <c r="C13" s="4" t="s">
        <v>24</v>
      </c>
      <c r="D13" s="7" t="str">
        <f>IF(ISBLANK(D11), "", IFERROR(YEAR(D11), ""))</f>
        <v/>
      </c>
      <c r="E13" s="2"/>
      <c r="H13" s="8">
        <v>11</v>
      </c>
      <c r="I13" s="8" t="s">
        <v>25</v>
      </c>
    </row>
    <row r="14" spans="2:9">
      <c r="B14" s="2"/>
      <c r="C14" s="4" t="s">
        <v>26</v>
      </c>
      <c r="D14" s="4" t="s">
        <v>27</v>
      </c>
      <c r="E14" s="2"/>
      <c r="H14" s="8">
        <v>12</v>
      </c>
      <c r="I14" s="8" t="s">
        <v>28</v>
      </c>
    </row>
    <row r="15" spans="2:9">
      <c r="B15" s="2"/>
      <c r="C15" s="4" t="s">
        <v>29</v>
      </c>
      <c r="D15" s="5"/>
      <c r="E15" s="2"/>
    </row>
    <row r="16" spans="2:9">
      <c r="B16" s="2"/>
      <c r="C16" s="4" t="s">
        <v>30</v>
      </c>
      <c r="D16" s="5"/>
      <c r="E16" s="2"/>
    </row>
    <row r="17" spans="2:5" ht="5.0999999999999996" customHeight="1">
      <c r="B17" s="2"/>
      <c r="C17" s="2"/>
      <c r="D17" s="2"/>
      <c r="E17" s="2"/>
    </row>
  </sheetData>
  <sheetProtection password="BBAF" sheet="1" formatColumns="0" formatRows="0" selectLockedCells="1"/>
  <mergeCells count="1">
    <mergeCell ref="C8:C10"/>
  </mergeCells>
  <dataValidations count="1">
    <dataValidation type="date" operator="greaterThanOrEqual" showErrorMessage="1" errorTitle="Kesalahan Jenis Data" error="Data yang dimasukkan harus berupa tanggal!" sqref="D5 D11" xr:uid="{00000000-0002-0000-0000-000000000000}">
      <formula1>0</formula1>
      <formula2>2958465.99999999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9"/>
  <sheetViews>
    <sheetView showGridLines="0" workbookViewId="0"/>
  </sheetViews>
  <sheetFormatPr defaultRowHeight="15"/>
  <cols>
    <col min="1" max="1" width="9.140625" style="1" customWidth="1"/>
    <col min="2" max="2" width="1" style="1" customWidth="1"/>
    <col min="3" max="3" width="50" style="1" customWidth="1"/>
    <col min="4" max="5" width="25" style="1" customWidth="1"/>
    <col min="6" max="6" width="1" style="1" customWidth="1"/>
    <col min="7" max="7" width="9.140625" style="1" customWidth="1"/>
    <col min="8" max="16384" width="9.140625" style="1"/>
  </cols>
  <sheetData>
    <row r="2" spans="2:6" ht="5.0999999999999996" customHeight="1">
      <c r="B2" s="2"/>
      <c r="C2" s="2"/>
      <c r="D2" s="2"/>
      <c r="E2" s="2"/>
      <c r="F2" s="2"/>
    </row>
    <row r="3" spans="2:6" hidden="1">
      <c r="B3" s="2"/>
      <c r="C3" s="2"/>
      <c r="D3" s="2"/>
      <c r="E3" s="2"/>
      <c r="F3" s="2"/>
    </row>
    <row r="4" spans="2:6" hidden="1">
      <c r="B4" s="2"/>
      <c r="C4" s="2"/>
      <c r="D4" s="2"/>
      <c r="E4" s="2"/>
      <c r="F4" s="2"/>
    </row>
    <row r="5" spans="2:6" hidden="1">
      <c r="B5" s="2"/>
      <c r="C5" s="2"/>
      <c r="D5" s="2"/>
      <c r="E5" s="2"/>
      <c r="F5" s="2"/>
    </row>
    <row r="6" spans="2:6" hidden="1">
      <c r="B6" s="2"/>
      <c r="C6" s="2"/>
      <c r="D6" s="2"/>
      <c r="E6" s="2"/>
      <c r="F6" s="2"/>
    </row>
    <row r="7" spans="2:6" ht="15.75">
      <c r="B7" s="2"/>
      <c r="C7" s="10" t="s">
        <v>31</v>
      </c>
      <c r="D7" s="2"/>
      <c r="E7" s="2"/>
      <c r="F7" s="2"/>
    </row>
    <row r="8" spans="2:6">
      <c r="B8" s="2"/>
      <c r="C8" s="2"/>
      <c r="D8" s="2"/>
      <c r="E8" s="2"/>
      <c r="F8" s="2"/>
    </row>
    <row r="9" spans="2:6" ht="17.25">
      <c r="B9" s="2"/>
      <c r="C9" s="11" t="s">
        <v>32</v>
      </c>
      <c r="D9" s="2"/>
      <c r="E9" s="2"/>
      <c r="F9" s="2"/>
    </row>
    <row r="10" spans="2:6" ht="15.75">
      <c r="B10" s="2"/>
      <c r="C10" s="10" t="s">
        <v>33</v>
      </c>
      <c r="D10" s="2"/>
      <c r="E10" s="2"/>
      <c r="F10" s="2"/>
    </row>
    <row r="11" spans="2:6" ht="15.75">
      <c r="B11" s="2"/>
      <c r="C11" s="10" t="s">
        <v>34</v>
      </c>
      <c r="D11" s="2"/>
      <c r="E11" s="2"/>
      <c r="F11" s="2"/>
    </row>
    <row r="12" spans="2:6" ht="15.75" hidden="1">
      <c r="B12" s="2"/>
      <c r="C12" s="10" t="s">
        <v>35</v>
      </c>
      <c r="D12" s="2"/>
      <c r="E12" s="2"/>
      <c r="F12" s="2"/>
    </row>
    <row r="13" spans="2:6" ht="15.75">
      <c r="B13" s="2"/>
      <c r="C13" s="10" t="s">
        <v>36</v>
      </c>
      <c r="D13" s="2"/>
      <c r="E13" s="2"/>
      <c r="F13" s="2"/>
    </row>
    <row r="14" spans="2:6">
      <c r="B14" s="2"/>
      <c r="C14" s="2"/>
      <c r="D14" s="2"/>
      <c r="E14" s="2"/>
      <c r="F14" s="2"/>
    </row>
    <row r="15" spans="2:6">
      <c r="B15" s="2"/>
      <c r="C15" s="2"/>
      <c r="D15" s="2"/>
      <c r="E15" s="2"/>
      <c r="F15" s="2"/>
    </row>
    <row r="16" spans="2:6">
      <c r="B16" s="2"/>
      <c r="C16" s="2"/>
      <c r="D16" s="2"/>
      <c r="E16" s="2"/>
      <c r="F16" s="2"/>
    </row>
    <row r="17" spans="2:6">
      <c r="B17" s="2"/>
      <c r="C17" s="2"/>
      <c r="D17" s="2"/>
      <c r="E17" s="2"/>
      <c r="F17" s="2"/>
    </row>
    <row r="18" spans="2:6">
      <c r="B18" s="2"/>
      <c r="C18" s="2"/>
      <c r="D18" s="2"/>
      <c r="E18" s="2"/>
      <c r="F18" s="2"/>
    </row>
    <row r="19" spans="2:6">
      <c r="B19" s="2"/>
      <c r="C19" s="2"/>
      <c r="D19" s="2"/>
      <c r="E19" s="2"/>
      <c r="F19" s="2"/>
    </row>
    <row r="20" spans="2:6" ht="26.25">
      <c r="B20" s="2"/>
      <c r="C20" s="24" t="s">
        <v>37</v>
      </c>
      <c r="D20" s="24"/>
      <c r="E20" s="24"/>
      <c r="F20" s="2"/>
    </row>
    <row r="21" spans="2:6" ht="21">
      <c r="B21" s="2"/>
      <c r="C21" s="25" t="s">
        <v>38</v>
      </c>
      <c r="D21" s="25"/>
      <c r="E21" s="25"/>
      <c r="F21" s="2"/>
    </row>
    <row r="22" spans="2:6" ht="18.75">
      <c r="B22" s="2"/>
      <c r="C22" s="26" t="str">
        <f>""</f>
        <v/>
      </c>
      <c r="D22" s="26"/>
      <c r="E22" s="26"/>
      <c r="F22" s="2"/>
    </row>
    <row r="23" spans="2:6">
      <c r="B23" s="2"/>
      <c r="C23" s="2"/>
      <c r="D23" s="2"/>
      <c r="E23" s="2"/>
      <c r="F23" s="2"/>
    </row>
    <row r="24" spans="2:6">
      <c r="B24" s="2"/>
      <c r="C24" s="2"/>
      <c r="D24" s="2"/>
      <c r="E24" s="2"/>
      <c r="F24" s="2"/>
    </row>
    <row r="25" spans="2:6">
      <c r="B25" s="2"/>
      <c r="C25" s="2"/>
      <c r="D25" s="2"/>
      <c r="E25" s="2"/>
      <c r="F25" s="2"/>
    </row>
    <row r="26" spans="2:6">
      <c r="B26" s="2"/>
      <c r="C26" s="2"/>
      <c r="D26" s="2"/>
      <c r="E26" s="2"/>
      <c r="F26" s="2"/>
    </row>
    <row r="27" spans="2:6">
      <c r="B27" s="2"/>
      <c r="C27" s="2"/>
      <c r="D27" s="2"/>
      <c r="E27" s="2"/>
      <c r="F27" s="2"/>
    </row>
    <row r="28" spans="2:6">
      <c r="B28" s="2"/>
      <c r="C28" s="2"/>
      <c r="D28" s="2"/>
      <c r="E28" s="2"/>
      <c r="F28" s="2"/>
    </row>
    <row r="29" spans="2:6">
      <c r="B29" s="2"/>
      <c r="C29" s="2"/>
      <c r="D29" s="2"/>
      <c r="E29" s="2"/>
      <c r="F29" s="2"/>
    </row>
    <row r="30" spans="2:6" ht="15.75">
      <c r="B30" s="2"/>
      <c r="C30" s="27" t="str">
        <f xml:space="preserve"> UPPER('Data Umum'!D7)</f>
        <v/>
      </c>
      <c r="D30" s="27"/>
      <c r="E30" s="27"/>
      <c r="F30" s="2"/>
    </row>
    <row r="31" spans="2:6" ht="15.75">
      <c r="B31" s="2"/>
      <c r="C31" s="27" t="str">
        <f>IF('Data Umum'!D8=0, "", 'Data Umum'!D8)</f>
        <v/>
      </c>
      <c r="D31" s="27"/>
      <c r="E31" s="27"/>
      <c r="F31" s="2"/>
    </row>
    <row r="32" spans="2:6" ht="15.75">
      <c r="B32" s="2"/>
      <c r="C32" s="27" t="str">
        <f>IF('Data Umum'!D9=0, "", 'Data Umum'!D9)</f>
        <v/>
      </c>
      <c r="D32" s="27"/>
      <c r="E32" s="27"/>
      <c r="F32" s="2"/>
    </row>
    <row r="33" spans="2:6" ht="15.75">
      <c r="B33" s="2"/>
      <c r="C33" s="27" t="str">
        <f>IF('Data Umum'!D10=0, "", 'Data Umum'!D10)</f>
        <v/>
      </c>
      <c r="D33" s="27"/>
      <c r="E33" s="27"/>
      <c r="F33" s="2"/>
    </row>
    <row r="34" spans="2:6">
      <c r="B34" s="2"/>
      <c r="C34" s="2"/>
      <c r="D34" s="2"/>
      <c r="E34" s="2"/>
      <c r="F34" s="2"/>
    </row>
    <row r="35" spans="2:6">
      <c r="B35" s="2"/>
      <c r="C35" s="2"/>
      <c r="D35" s="2"/>
      <c r="E35" s="2"/>
      <c r="F35" s="2"/>
    </row>
    <row r="36" spans="2:6">
      <c r="B36" s="2"/>
      <c r="C36" s="2"/>
      <c r="D36" s="2"/>
      <c r="E36" s="2"/>
      <c r="F36" s="2"/>
    </row>
    <row r="37" spans="2:6">
      <c r="B37" s="2"/>
      <c r="C37" s="2"/>
      <c r="D37" s="2"/>
      <c r="E37" s="2"/>
      <c r="F37" s="2"/>
    </row>
    <row r="38" spans="2:6">
      <c r="B38" s="2"/>
      <c r="C38" s="2"/>
      <c r="D38" s="2"/>
      <c r="E38" s="2"/>
      <c r="F38" s="2"/>
    </row>
    <row r="39" spans="2:6">
      <c r="B39" s="2"/>
      <c r="C39" s="2"/>
      <c r="D39" s="2"/>
      <c r="E39" s="2"/>
      <c r="F39" s="2"/>
    </row>
    <row r="40" spans="2:6">
      <c r="B40" s="2"/>
      <c r="C40" s="2"/>
      <c r="D40" s="2"/>
      <c r="E40" s="2"/>
      <c r="F40" s="2"/>
    </row>
    <row r="41" spans="2:6">
      <c r="B41" s="2"/>
      <c r="C41" s="2"/>
      <c r="D41" s="2"/>
      <c r="E41" s="2"/>
      <c r="F41" s="2"/>
    </row>
    <row r="42" spans="2:6">
      <c r="B42" s="2"/>
      <c r="C42" s="2"/>
      <c r="D42" s="2"/>
      <c r="E42" s="2"/>
      <c r="F42" s="2"/>
    </row>
    <row r="43" spans="2:6">
      <c r="B43" s="2"/>
      <c r="C43" s="2"/>
      <c r="D43" s="2"/>
      <c r="E43" s="2"/>
      <c r="F43" s="2"/>
    </row>
    <row r="44" spans="2:6">
      <c r="B44" s="2"/>
      <c r="C44" s="2"/>
      <c r="D44" s="2"/>
      <c r="E44" s="2"/>
      <c r="F44" s="2"/>
    </row>
    <row r="45" spans="2:6">
      <c r="B45" s="2"/>
      <c r="C45" s="2"/>
      <c r="D45" s="2"/>
      <c r="E45" s="2"/>
      <c r="F45" s="2"/>
    </row>
    <row r="46" spans="2:6">
      <c r="B46" s="2"/>
      <c r="C46" s="2"/>
      <c r="D46" s="2"/>
      <c r="E46" s="2"/>
      <c r="F46" s="2"/>
    </row>
    <row r="47" spans="2:6">
      <c r="B47" s="2"/>
      <c r="C47" s="2"/>
      <c r="D47" s="2"/>
      <c r="E47" s="2"/>
      <c r="F47" s="2"/>
    </row>
    <row r="48" spans="2:6">
      <c r="B48" s="2"/>
      <c r="C48" s="2"/>
      <c r="D48" s="2"/>
      <c r="E48" s="2"/>
      <c r="F48" s="2"/>
    </row>
    <row r="49" spans="2:6" ht="5.0999999999999996" customHeight="1">
      <c r="B49" s="2"/>
      <c r="C49" s="2"/>
      <c r="D49" s="2"/>
      <c r="E49" s="2"/>
      <c r="F49" s="2"/>
    </row>
  </sheetData>
  <sheetProtection password="BBAF" sheet="1" formatColumns="0" formatRows="0" selectLockedCells="1"/>
  <mergeCells count="7">
    <mergeCell ref="C32:E32"/>
    <mergeCell ref="C33:E33"/>
    <mergeCell ref="C20:E20"/>
    <mergeCell ref="C21:E21"/>
    <mergeCell ref="C22:E22"/>
    <mergeCell ref="C30:E30"/>
    <mergeCell ref="C31:E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3"/>
  <sheetViews>
    <sheetView showGridLines="0" workbookViewId="0"/>
  </sheetViews>
  <sheetFormatPr defaultRowHeight="15"/>
  <cols>
    <col min="1" max="1" width="9.140625" style="1" customWidth="1"/>
    <col min="2" max="2" width="1" style="1" customWidth="1"/>
    <col min="3" max="3" width="10" style="1" customWidth="1"/>
    <col min="4" max="4" width="20" style="1" customWidth="1"/>
    <col min="5" max="6" width="50" style="1" customWidth="1"/>
    <col min="7" max="7" width="20" style="1" customWidth="1"/>
    <col min="8" max="8" width="1" style="1" customWidth="1"/>
    <col min="9" max="9" width="9.140625" style="1" customWidth="1"/>
    <col min="10" max="16384" width="9.140625" style="1"/>
  </cols>
  <sheetData>
    <row r="2" spans="2:8" ht="5.0999999999999996" customHeight="1">
      <c r="B2" s="2"/>
      <c r="C2" s="2"/>
      <c r="D2" s="2"/>
      <c r="E2" s="2"/>
      <c r="F2" s="2"/>
      <c r="G2" s="2"/>
      <c r="H2" s="2"/>
    </row>
    <row r="3" spans="2:8" hidden="1">
      <c r="B3" s="2"/>
      <c r="C3" s="2"/>
      <c r="D3" s="2"/>
      <c r="E3" s="2"/>
      <c r="F3" s="2"/>
      <c r="G3" s="2"/>
      <c r="H3" s="2"/>
    </row>
    <row r="4" spans="2:8" hidden="1">
      <c r="B4" s="2"/>
      <c r="C4" s="2"/>
      <c r="D4" s="2"/>
      <c r="E4" s="2"/>
      <c r="F4" s="2"/>
      <c r="G4" s="2"/>
      <c r="H4" s="2"/>
    </row>
    <row r="5" spans="2:8" hidden="1">
      <c r="B5" s="2"/>
      <c r="C5" s="2"/>
      <c r="D5" s="2"/>
      <c r="E5" s="2"/>
      <c r="F5" s="2"/>
      <c r="G5" s="2"/>
      <c r="H5" s="2"/>
    </row>
    <row r="6" spans="2:8" hidden="1">
      <c r="B6" s="2"/>
      <c r="C6" s="2"/>
      <c r="D6" s="2"/>
      <c r="E6" s="2"/>
      <c r="F6" s="2"/>
      <c r="G6" s="2"/>
      <c r="H6" s="2"/>
    </row>
    <row r="7" spans="2:8" ht="15.75">
      <c r="B7" s="2"/>
      <c r="C7" s="10" t="s">
        <v>39</v>
      </c>
      <c r="D7" s="2"/>
      <c r="E7" s="10" t="s">
        <v>40</v>
      </c>
      <c r="F7" s="2"/>
      <c r="G7" s="10" t="b">
        <f>AND(G10, G11)</f>
        <v>1</v>
      </c>
      <c r="H7" s="2"/>
    </row>
    <row r="8" spans="2:8">
      <c r="B8" s="2"/>
      <c r="C8" s="2"/>
      <c r="D8" s="2"/>
      <c r="E8" s="2"/>
      <c r="F8" s="2"/>
      <c r="G8" s="2"/>
      <c r="H8" s="2"/>
    </row>
    <row r="9" spans="2:8">
      <c r="B9" s="2"/>
      <c r="C9" s="12" t="s">
        <v>41</v>
      </c>
      <c r="D9" s="12" t="s">
        <v>42</v>
      </c>
      <c r="E9" s="12" t="s">
        <v>43</v>
      </c>
      <c r="F9" s="12" t="s">
        <v>44</v>
      </c>
      <c r="G9" s="12" t="s">
        <v>39</v>
      </c>
      <c r="H9" s="2"/>
    </row>
    <row r="10" spans="2:8" ht="15.75">
      <c r="B10" s="2"/>
      <c r="C10" s="12">
        <v>1</v>
      </c>
      <c r="D10" s="12" t="s">
        <v>45</v>
      </c>
      <c r="E10" s="12" t="s">
        <v>46</v>
      </c>
      <c r="F10" s="12" t="s">
        <v>47</v>
      </c>
      <c r="G10" s="10" t="b">
        <f>SUMPRODUCT((LSTAKDKP!E16:E1000&lt;&gt;"")*(LSTAKDKP!F16:F1000&lt;&gt;"")*(COUNTIFS(LSTAKDKP!E16:E1000, LSTAKDKP!E16:E1000, LSTAKDKP!F16:F1000, LSTAKDKP!F16:F1000)&gt;1))=0</f>
        <v>1</v>
      </c>
      <c r="H10" s="2"/>
    </row>
    <row r="11" spans="2:8" ht="15.75">
      <c r="B11" s="2"/>
      <c r="C11" s="12">
        <v>2</v>
      </c>
      <c r="D11" s="12" t="s">
        <v>48</v>
      </c>
      <c r="E11" s="12" t="s">
        <v>46</v>
      </c>
      <c r="F11" s="12" t="s">
        <v>49</v>
      </c>
      <c r="G11" s="10" t="b">
        <f>SUMPRODUCT((LRTAK!E16:E1000&lt;&gt;"")*(LRTAK!F16:F1000&lt;&gt;"")*(COUNTIFS(LRTAK!E16:E1000, LRTAK!E16:E1000, LRTAK!F16:F1000, LRTAK!F16:F1000)&gt;1))=0</f>
        <v>1</v>
      </c>
      <c r="H11" s="2"/>
    </row>
    <row r="12" spans="2:8">
      <c r="B12" s="2"/>
      <c r="C12" s="2"/>
      <c r="D12" s="2"/>
      <c r="E12" s="2"/>
      <c r="F12" s="2"/>
      <c r="G12" s="2"/>
      <c r="H12" s="2"/>
    </row>
    <row r="13" spans="2:8" ht="5.0999999999999996" customHeight="1">
      <c r="B13" s="2"/>
      <c r="C13" s="2"/>
      <c r="D13" s="2"/>
      <c r="E13" s="2"/>
      <c r="F13" s="2"/>
      <c r="G13" s="2"/>
      <c r="H13" s="2"/>
    </row>
  </sheetData>
  <sheetProtection password="BBAF" sheet="1" formatColumns="0" formatRows="0" selectLockedCells="1"/>
  <conditionalFormatting sqref="G7">
    <cfRule type="cellIs" dxfId="3" priority="1" operator="equal">
      <formula>TRUE</formula>
    </cfRule>
    <cfRule type="cellIs" dxfId="2" priority="2" operator="equal">
      <formula>FALSE</formula>
    </cfRule>
  </conditionalFormatting>
  <conditionalFormatting sqref="G10:G11">
    <cfRule type="cellIs" dxfId="1" priority="3" operator="equal">
      <formula>TRUE</formula>
    </cfRule>
    <cfRule type="cellIs" dxfId="0" priority="4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20"/>
  <sheetViews>
    <sheetView showGridLines="0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/>
    </sheetView>
  </sheetViews>
  <sheetFormatPr defaultRowHeight="15"/>
  <cols>
    <col min="1" max="1" width="9.140625" style="1" customWidth="1"/>
    <col min="2" max="2" width="1" style="1" customWidth="1"/>
    <col min="3" max="4" width="20" style="1" customWidth="1"/>
    <col min="5" max="8" width="30" style="1" customWidth="1"/>
    <col min="9" max="9" width="1" style="1" customWidth="1"/>
    <col min="10" max="10" width="9.140625" style="1" customWidth="1"/>
    <col min="11" max="16384" width="9.140625" style="1"/>
  </cols>
  <sheetData>
    <row r="2" spans="2:9" ht="5.0999999999999996" customHeight="1">
      <c r="B2" s="9" t="s">
        <v>50</v>
      </c>
      <c r="C2" s="2"/>
      <c r="D2" s="2"/>
      <c r="E2" s="2"/>
      <c r="F2" s="2"/>
      <c r="G2" s="2"/>
      <c r="H2" s="2"/>
      <c r="I2" s="2"/>
    </row>
    <row r="3" spans="2:9" hidden="1">
      <c r="B3" s="9" t="s">
        <v>8</v>
      </c>
      <c r="C3" s="2"/>
      <c r="D3" s="2"/>
      <c r="E3" s="2"/>
      <c r="F3" s="2"/>
      <c r="G3" s="2"/>
      <c r="H3" s="2"/>
      <c r="I3" s="2"/>
    </row>
    <row r="4" spans="2:9" hidden="1">
      <c r="B4" s="2"/>
      <c r="C4" s="2"/>
      <c r="D4" s="2"/>
      <c r="E4" s="2"/>
      <c r="F4" s="2"/>
      <c r="G4" s="2"/>
      <c r="H4" s="2"/>
      <c r="I4" s="2"/>
    </row>
    <row r="5" spans="2:9" hidden="1">
      <c r="B5" s="2"/>
      <c r="C5" s="2"/>
      <c r="D5" s="2"/>
      <c r="E5" s="2"/>
      <c r="F5" s="2"/>
      <c r="G5" s="2"/>
      <c r="H5" s="2"/>
      <c r="I5" s="2"/>
    </row>
    <row r="6" spans="2:9" hidden="1">
      <c r="B6" s="2"/>
      <c r="C6" s="2"/>
      <c r="D6" s="2"/>
      <c r="E6" s="2"/>
      <c r="F6" s="2"/>
      <c r="G6" s="2"/>
      <c r="H6" s="2"/>
      <c r="I6" s="2"/>
    </row>
    <row r="7" spans="2:9" ht="17.25">
      <c r="B7" s="2"/>
      <c r="C7" s="28" t="str">
        <f>UPPER('Data Umum'!D7)</f>
        <v/>
      </c>
      <c r="D7" s="28"/>
      <c r="E7" s="28"/>
      <c r="F7" s="28"/>
      <c r="G7" s="28"/>
      <c r="H7" s="28"/>
      <c r="I7" s="2"/>
    </row>
    <row r="8" spans="2:9">
      <c r="B8" s="2"/>
      <c r="C8" s="29" t="s">
        <v>51</v>
      </c>
      <c r="D8" s="29"/>
      <c r="E8" s="29"/>
      <c r="F8" s="29"/>
      <c r="G8" s="29"/>
      <c r="H8" s="29"/>
      <c r="I8" s="2"/>
    </row>
    <row r="9" spans="2:9">
      <c r="B9" s="2"/>
      <c r="C9" s="29" t="s">
        <v>52</v>
      </c>
      <c r="D9" s="29"/>
      <c r="E9" s="29"/>
      <c r="F9" s="29"/>
      <c r="G9" s="29"/>
      <c r="H9" s="29"/>
      <c r="I9" s="2"/>
    </row>
    <row r="10" spans="2:9">
      <c r="B10" s="2"/>
      <c r="C10" s="29"/>
      <c r="D10" s="29"/>
      <c r="E10" s="29"/>
      <c r="F10" s="29"/>
      <c r="G10" s="29"/>
      <c r="H10" s="29"/>
      <c r="I10" s="2"/>
    </row>
    <row r="11" spans="2:9">
      <c r="B11" s="2"/>
      <c r="C11" s="30" t="str">
        <f>"Per " &amp; TEXT('Data Umum'!D11, "DD-MMM-YYYY")</f>
        <v>Per 00-Jan-1900</v>
      </c>
      <c r="D11" s="30"/>
      <c r="E11" s="30"/>
      <c r="F11" s="30"/>
      <c r="G11" s="30"/>
      <c r="H11" s="30"/>
      <c r="I11" s="2"/>
    </row>
    <row r="12" spans="2:9" hidden="1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31"/>
      <c r="D13" s="31"/>
      <c r="E13" s="31"/>
      <c r="F13" s="31"/>
      <c r="G13" s="31"/>
      <c r="H13" s="31"/>
      <c r="I13" s="2"/>
    </row>
    <row r="14" spans="2:9">
      <c r="B14" s="2"/>
      <c r="C14" s="32" t="s">
        <v>53</v>
      </c>
      <c r="D14" s="33"/>
      <c r="E14" s="36" t="str">
        <f>"Saldo Dana Posisi Sebelumnya (Rp)"</f>
        <v>Saldo Dana Posisi Sebelumnya (Rp)</v>
      </c>
      <c r="F14" s="36" t="str">
        <f>"Total Deposit Dana (Rp)"</f>
        <v>Total Deposit Dana (Rp)</v>
      </c>
      <c r="G14" s="36" t="str">
        <f>"Total Withdraw Dana (Rp)"</f>
        <v>Total Withdraw Dana (Rp)</v>
      </c>
      <c r="H14" s="36" t="str">
        <f>"Saldo Dana Posisi Akhir (Rp)"</f>
        <v>Saldo Dana Posisi Akhir (Rp)</v>
      </c>
      <c r="I14" s="2"/>
    </row>
    <row r="15" spans="2:9">
      <c r="B15" s="2"/>
      <c r="C15" s="34"/>
      <c r="D15" s="35"/>
      <c r="E15" s="37"/>
      <c r="F15" s="37"/>
      <c r="G15" s="37"/>
      <c r="H15" s="37"/>
      <c r="I15" s="2"/>
    </row>
    <row r="16" spans="2:9">
      <c r="B16" s="2"/>
      <c r="C16" s="38" t="s">
        <v>8</v>
      </c>
      <c r="D16" s="33"/>
      <c r="E16" s="39">
        <v>0</v>
      </c>
      <c r="F16" s="39">
        <v>0</v>
      </c>
      <c r="G16" s="39">
        <v>0</v>
      </c>
      <c r="H16" s="13">
        <f>(E16+F16)-G16</f>
        <v>0</v>
      </c>
      <c r="I16" s="2"/>
    </row>
    <row r="17" spans="2:9">
      <c r="B17" s="2"/>
      <c r="C17" s="38" t="s">
        <v>54</v>
      </c>
      <c r="D17" s="33"/>
      <c r="E17" s="13">
        <f>H16</f>
        <v>0</v>
      </c>
      <c r="F17" s="39">
        <v>0</v>
      </c>
      <c r="G17" s="39">
        <v>0</v>
      </c>
      <c r="H17" s="13">
        <f>(E17+F17)-G17</f>
        <v>0</v>
      </c>
      <c r="I17" s="2"/>
    </row>
    <row r="18" spans="2:9">
      <c r="B18" s="2"/>
      <c r="C18" s="38" t="s">
        <v>55</v>
      </c>
      <c r="D18" s="33"/>
      <c r="E18" s="13">
        <f>E16+E17</f>
        <v>0</v>
      </c>
      <c r="F18" s="13">
        <f>F16+F17</f>
        <v>0</v>
      </c>
      <c r="G18" s="13">
        <f>G16+G17</f>
        <v>0</v>
      </c>
      <c r="H18" s="13">
        <f>H16+H17</f>
        <v>0</v>
      </c>
      <c r="I18" s="2"/>
    </row>
    <row r="19" spans="2:9">
      <c r="B19" s="2"/>
      <c r="C19" s="2"/>
      <c r="D19" s="2"/>
      <c r="E19" s="2"/>
      <c r="F19" s="2"/>
      <c r="G19" s="2"/>
      <c r="H19" s="2"/>
      <c r="I19" s="2"/>
    </row>
    <row r="20" spans="2:9" ht="5.0999999999999996" customHeight="1">
      <c r="B20" s="2"/>
      <c r="C20" s="2"/>
      <c r="D20" s="2"/>
      <c r="E20" s="2"/>
      <c r="F20" s="2"/>
      <c r="G20" s="2"/>
      <c r="H20" s="2"/>
      <c r="I20" s="2"/>
    </row>
  </sheetData>
  <sheetProtection password="BBAF" sheet="1" formatColumns="0" formatRows="0" selectLockedCells="1"/>
  <mergeCells count="19">
    <mergeCell ref="C18:D18"/>
    <mergeCell ref="C16:D16"/>
    <mergeCell ref="E16"/>
    <mergeCell ref="F16"/>
    <mergeCell ref="G16"/>
    <mergeCell ref="C17:D17"/>
    <mergeCell ref="F17"/>
    <mergeCell ref="G17"/>
    <mergeCell ref="C13:H13"/>
    <mergeCell ref="C14:D15"/>
    <mergeCell ref="E14:E15"/>
    <mergeCell ref="F14:F15"/>
    <mergeCell ref="G14:G15"/>
    <mergeCell ref="H14:H15"/>
    <mergeCell ref="C7:H7"/>
    <mergeCell ref="C8:H8"/>
    <mergeCell ref="C9:H9"/>
    <mergeCell ref="C10:H10"/>
    <mergeCell ref="C11:H11"/>
  </mergeCells>
  <dataValidations count="1">
    <dataValidation type="decimal" operator="greaterThanOrEqual" showErrorMessage="1" errorTitle="Kesalahan Jenis Data" error="Data yang dimasukkan harus berupa Angka!" sqref="F17:G17 E16:G16" xr:uid="{00000000-0002-0000-0300-000000000000}">
      <formula1>-1000000000000000000</formula1>
      <formula2>1000000000000000000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118"/>
  <sheetViews>
    <sheetView showGridLines="0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 activeCell="E18" sqref="E18"/>
    </sheetView>
  </sheetViews>
  <sheetFormatPr defaultRowHeight="15"/>
  <cols>
    <col min="1" max="1" width="9.140625" style="1" customWidth="1"/>
    <col min="2" max="3" width="1" style="1" customWidth="1"/>
    <col min="4" max="4" width="20" style="1" customWidth="1"/>
    <col min="5" max="17" width="30" style="1" customWidth="1"/>
    <col min="18" max="18" width="1" style="1" customWidth="1"/>
    <col min="19" max="19" width="9.140625" style="1" customWidth="1"/>
    <col min="20" max="16384" width="9.140625" style="1"/>
  </cols>
  <sheetData>
    <row r="2" spans="2:18" ht="5.0999999999999996" customHeight="1">
      <c r="B2" s="9" t="s">
        <v>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hidden="1">
      <c r="B3" s="9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hidden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2:18" hidden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idden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2:18" ht="17.25">
      <c r="B7" s="2"/>
      <c r="C7" s="28" t="str">
        <f>UPPER('Data Umum'!D7)</f>
        <v/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"/>
    </row>
    <row r="8" spans="2:18">
      <c r="B8" s="2"/>
      <c r="C8" s="29" t="s">
        <v>51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"/>
    </row>
    <row r="9" spans="2:18">
      <c r="B9" s="2"/>
      <c r="C9" s="29" t="s">
        <v>56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"/>
    </row>
    <row r="10" spans="2:18"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"/>
    </row>
    <row r="11" spans="2:18">
      <c r="B11" s="2"/>
      <c r="C11" s="30" t="str">
        <f>"Per " &amp; TEXT('Data Umum'!D11, "DD-MMM-YYYY")</f>
        <v>Per 00-Jan-1900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2"/>
    </row>
    <row r="12" spans="2:18" hidden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2"/>
    </row>
    <row r="14" spans="2:18">
      <c r="B14" s="2"/>
      <c r="C14" s="32" t="s">
        <v>57</v>
      </c>
      <c r="D14" s="33"/>
      <c r="E14" s="36" t="str">
        <f>"Kode Aset Keuangan Digital"</f>
        <v>Kode Aset Keuangan Digital</v>
      </c>
      <c r="F14" s="36" t="str">
        <f>"Nama Aset Keuangan Digital"</f>
        <v>Nama Aset Keuangan Digital</v>
      </c>
      <c r="G14" s="36" t="str">
        <f>"Jumlah AKD (Unit)"</f>
        <v>Jumlah AKD (Unit)</v>
      </c>
      <c r="H14" s="36" t="str">
        <f>"AKD milik Konsumen"</f>
        <v>AKD milik Konsumen</v>
      </c>
      <c r="I14" s="36" t="str">
        <f>"AKD milik Pedagang"</f>
        <v>AKD milik Pedagang</v>
      </c>
      <c r="J14" s="36" t="str">
        <f>"AKD Konsumen penempatan di Pedagang"</f>
        <v>AKD Konsumen penempatan di Pedagang</v>
      </c>
      <c r="K14" s="36" t="str">
        <f>"AKD Konsumen penempatan di Pengelola Tempat Penyimpanan"</f>
        <v>AKD Konsumen penempatan di Pengelola Tempat Penyimpanan</v>
      </c>
      <c r="L14" s="36" t="str">
        <f>"Harga Per Unit (Rp)"</f>
        <v>Harga Per Unit (Rp)</v>
      </c>
      <c r="M14" s="36" t="str">
        <f>"Nilai (Rp) -Total"</f>
        <v>Nilai (Rp) -Total</v>
      </c>
      <c r="N14" s="36" t="str">
        <f>"Nilai (Rp) -AKD milik Konsumen"</f>
        <v>Nilai (Rp) -AKD milik Konsumen</v>
      </c>
      <c r="O14" s="36" t="str">
        <f>"Nilai (Rp) -AKD milik Pedagang"</f>
        <v>Nilai (Rp) -AKD milik Pedagang</v>
      </c>
      <c r="P14" s="36" t="str">
        <f>"Nilai (Rp) -AKD Konsumen penempatan di Pedagang"</f>
        <v>Nilai (Rp) -AKD Konsumen penempatan di Pedagang</v>
      </c>
      <c r="Q14" s="36" t="str">
        <f>"Nilai (Rp) - AKD Konsumen penempatan di Pengelola Tempat Penyimpanan"</f>
        <v>Nilai (Rp) - AKD Konsumen penempatan di Pengelola Tempat Penyimpanan</v>
      </c>
      <c r="R14" s="2"/>
    </row>
    <row r="15" spans="2:18">
      <c r="B15" s="2"/>
      <c r="C15" s="34"/>
      <c r="D15" s="35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2"/>
    </row>
    <row r="16" spans="2:18">
      <c r="B16" s="2"/>
      <c r="C16" s="38" t="s">
        <v>8</v>
      </c>
      <c r="D16" s="33"/>
      <c r="E16" s="40" t="s">
        <v>58</v>
      </c>
      <c r="F16" s="40" t="s">
        <v>58</v>
      </c>
      <c r="G16" s="14">
        <f t="shared" ref="G16:G47" si="0">H16+I16</f>
        <v>0</v>
      </c>
      <c r="H16" s="14">
        <f t="shared" ref="H16:H47" si="1">J16+K16</f>
        <v>0</v>
      </c>
      <c r="I16" s="41">
        <v>0</v>
      </c>
      <c r="J16" s="41">
        <v>0</v>
      </c>
      <c r="K16" s="41">
        <v>0</v>
      </c>
      <c r="L16" s="39">
        <v>0</v>
      </c>
      <c r="M16" s="13">
        <f t="shared" ref="M16:M47" si="2">G16*L16</f>
        <v>0</v>
      </c>
      <c r="N16" s="13">
        <f t="shared" ref="N16:N47" si="3">H16*L16</f>
        <v>0</v>
      </c>
      <c r="O16" s="13">
        <f t="shared" ref="O16:O47" si="4">I16*L16</f>
        <v>0</v>
      </c>
      <c r="P16" s="13">
        <f t="shared" ref="P16:P47" si="5">J16*L16</f>
        <v>0</v>
      </c>
      <c r="Q16" s="13">
        <f t="shared" ref="Q16:Q47" si="6">K16*L16</f>
        <v>0</v>
      </c>
      <c r="R16" s="2"/>
    </row>
    <row r="17" spans="2:18">
      <c r="B17" s="2"/>
      <c r="C17" s="38" t="s">
        <v>54</v>
      </c>
      <c r="D17" s="33"/>
      <c r="E17" s="40" t="s">
        <v>58</v>
      </c>
      <c r="F17" s="40" t="s">
        <v>58</v>
      </c>
      <c r="G17" s="14">
        <f t="shared" si="0"/>
        <v>0</v>
      </c>
      <c r="H17" s="14">
        <f t="shared" si="1"/>
        <v>0</v>
      </c>
      <c r="I17" s="41">
        <v>0</v>
      </c>
      <c r="J17" s="41">
        <v>0</v>
      </c>
      <c r="K17" s="41">
        <v>0</v>
      </c>
      <c r="L17" s="39">
        <v>0</v>
      </c>
      <c r="M17" s="13">
        <f t="shared" si="2"/>
        <v>0</v>
      </c>
      <c r="N17" s="13">
        <f t="shared" si="3"/>
        <v>0</v>
      </c>
      <c r="O17" s="13">
        <f t="shared" si="4"/>
        <v>0</v>
      </c>
      <c r="P17" s="13">
        <f t="shared" si="5"/>
        <v>0</v>
      </c>
      <c r="Q17" s="13">
        <f t="shared" si="6"/>
        <v>0</v>
      </c>
      <c r="R17" s="2"/>
    </row>
    <row r="18" spans="2:18">
      <c r="B18" s="2"/>
      <c r="C18" s="38" t="s">
        <v>59</v>
      </c>
      <c r="D18" s="33"/>
      <c r="E18" s="40" t="s">
        <v>58</v>
      </c>
      <c r="F18" s="40" t="s">
        <v>58</v>
      </c>
      <c r="G18" s="14">
        <f t="shared" si="0"/>
        <v>0</v>
      </c>
      <c r="H18" s="14">
        <f t="shared" si="1"/>
        <v>0</v>
      </c>
      <c r="I18" s="41">
        <v>0</v>
      </c>
      <c r="J18" s="41">
        <v>0</v>
      </c>
      <c r="K18" s="41">
        <v>0</v>
      </c>
      <c r="L18" s="39">
        <v>0</v>
      </c>
      <c r="M18" s="13">
        <f t="shared" si="2"/>
        <v>0</v>
      </c>
      <c r="N18" s="13">
        <f t="shared" si="3"/>
        <v>0</v>
      </c>
      <c r="O18" s="13">
        <f t="shared" si="4"/>
        <v>0</v>
      </c>
      <c r="P18" s="13">
        <f t="shared" si="5"/>
        <v>0</v>
      </c>
      <c r="Q18" s="13">
        <f t="shared" si="6"/>
        <v>0</v>
      </c>
      <c r="R18" s="2"/>
    </row>
    <row r="19" spans="2:18">
      <c r="B19" s="2"/>
      <c r="C19" s="38" t="s">
        <v>60</v>
      </c>
      <c r="D19" s="33"/>
      <c r="E19" s="40" t="s">
        <v>58</v>
      </c>
      <c r="F19" s="40" t="s">
        <v>58</v>
      </c>
      <c r="G19" s="14">
        <f t="shared" si="0"/>
        <v>0</v>
      </c>
      <c r="H19" s="14">
        <f t="shared" si="1"/>
        <v>0</v>
      </c>
      <c r="I19" s="41">
        <v>0</v>
      </c>
      <c r="J19" s="41">
        <v>0</v>
      </c>
      <c r="K19" s="41">
        <v>0</v>
      </c>
      <c r="L19" s="39">
        <v>0</v>
      </c>
      <c r="M19" s="13">
        <f t="shared" si="2"/>
        <v>0</v>
      </c>
      <c r="N19" s="13">
        <f t="shared" si="3"/>
        <v>0</v>
      </c>
      <c r="O19" s="13">
        <f t="shared" si="4"/>
        <v>0</v>
      </c>
      <c r="P19" s="13">
        <f t="shared" si="5"/>
        <v>0</v>
      </c>
      <c r="Q19" s="13">
        <f t="shared" si="6"/>
        <v>0</v>
      </c>
      <c r="R19" s="2"/>
    </row>
    <row r="20" spans="2:18">
      <c r="B20" s="2"/>
      <c r="C20" s="38" t="s">
        <v>61</v>
      </c>
      <c r="D20" s="33"/>
      <c r="E20" s="40" t="s">
        <v>58</v>
      </c>
      <c r="F20" s="40" t="s">
        <v>58</v>
      </c>
      <c r="G20" s="14">
        <f t="shared" si="0"/>
        <v>0</v>
      </c>
      <c r="H20" s="14">
        <f t="shared" si="1"/>
        <v>0</v>
      </c>
      <c r="I20" s="41">
        <v>0</v>
      </c>
      <c r="J20" s="41">
        <v>0</v>
      </c>
      <c r="K20" s="41">
        <v>0</v>
      </c>
      <c r="L20" s="39">
        <v>0</v>
      </c>
      <c r="M20" s="13">
        <f t="shared" si="2"/>
        <v>0</v>
      </c>
      <c r="N20" s="13">
        <f t="shared" si="3"/>
        <v>0</v>
      </c>
      <c r="O20" s="13">
        <f t="shared" si="4"/>
        <v>0</v>
      </c>
      <c r="P20" s="13">
        <f t="shared" si="5"/>
        <v>0</v>
      </c>
      <c r="Q20" s="13">
        <f t="shared" si="6"/>
        <v>0</v>
      </c>
      <c r="R20" s="2"/>
    </row>
    <row r="21" spans="2:18">
      <c r="B21" s="2"/>
      <c r="C21" s="38" t="s">
        <v>62</v>
      </c>
      <c r="D21" s="33"/>
      <c r="E21" s="40" t="s">
        <v>58</v>
      </c>
      <c r="F21" s="40" t="s">
        <v>58</v>
      </c>
      <c r="G21" s="14">
        <f t="shared" si="0"/>
        <v>0</v>
      </c>
      <c r="H21" s="14">
        <f t="shared" si="1"/>
        <v>0</v>
      </c>
      <c r="I21" s="41">
        <v>0</v>
      </c>
      <c r="J21" s="41">
        <v>0</v>
      </c>
      <c r="K21" s="41">
        <v>0</v>
      </c>
      <c r="L21" s="39">
        <v>0</v>
      </c>
      <c r="M21" s="13">
        <f t="shared" si="2"/>
        <v>0</v>
      </c>
      <c r="N21" s="13">
        <f t="shared" si="3"/>
        <v>0</v>
      </c>
      <c r="O21" s="13">
        <f t="shared" si="4"/>
        <v>0</v>
      </c>
      <c r="P21" s="13">
        <f t="shared" si="5"/>
        <v>0</v>
      </c>
      <c r="Q21" s="13">
        <f t="shared" si="6"/>
        <v>0</v>
      </c>
      <c r="R21" s="2"/>
    </row>
    <row r="22" spans="2:18">
      <c r="B22" s="2"/>
      <c r="C22" s="38" t="s">
        <v>63</v>
      </c>
      <c r="D22" s="33"/>
      <c r="E22" s="40" t="s">
        <v>58</v>
      </c>
      <c r="F22" s="40" t="s">
        <v>58</v>
      </c>
      <c r="G22" s="14">
        <f t="shared" si="0"/>
        <v>0</v>
      </c>
      <c r="H22" s="14">
        <f t="shared" si="1"/>
        <v>0</v>
      </c>
      <c r="I22" s="41">
        <v>0</v>
      </c>
      <c r="J22" s="41">
        <v>0</v>
      </c>
      <c r="K22" s="41">
        <v>0</v>
      </c>
      <c r="L22" s="39">
        <v>0</v>
      </c>
      <c r="M22" s="13">
        <f t="shared" si="2"/>
        <v>0</v>
      </c>
      <c r="N22" s="13">
        <f t="shared" si="3"/>
        <v>0</v>
      </c>
      <c r="O22" s="13">
        <f t="shared" si="4"/>
        <v>0</v>
      </c>
      <c r="P22" s="13">
        <f t="shared" si="5"/>
        <v>0</v>
      </c>
      <c r="Q22" s="13">
        <f t="shared" si="6"/>
        <v>0</v>
      </c>
      <c r="R22" s="2"/>
    </row>
    <row r="23" spans="2:18">
      <c r="B23" s="2"/>
      <c r="C23" s="38" t="s">
        <v>64</v>
      </c>
      <c r="D23" s="33"/>
      <c r="E23" s="40" t="s">
        <v>58</v>
      </c>
      <c r="F23" s="40" t="s">
        <v>58</v>
      </c>
      <c r="G23" s="14">
        <f t="shared" si="0"/>
        <v>0</v>
      </c>
      <c r="H23" s="14">
        <f t="shared" si="1"/>
        <v>0</v>
      </c>
      <c r="I23" s="41">
        <v>0</v>
      </c>
      <c r="J23" s="41">
        <v>0</v>
      </c>
      <c r="K23" s="41">
        <v>0</v>
      </c>
      <c r="L23" s="39">
        <v>0</v>
      </c>
      <c r="M23" s="13">
        <f t="shared" si="2"/>
        <v>0</v>
      </c>
      <c r="N23" s="13">
        <f t="shared" si="3"/>
        <v>0</v>
      </c>
      <c r="O23" s="13">
        <f t="shared" si="4"/>
        <v>0</v>
      </c>
      <c r="P23" s="13">
        <f t="shared" si="5"/>
        <v>0</v>
      </c>
      <c r="Q23" s="13">
        <f t="shared" si="6"/>
        <v>0</v>
      </c>
      <c r="R23" s="2"/>
    </row>
    <row r="24" spans="2:18">
      <c r="B24" s="2"/>
      <c r="C24" s="38" t="s">
        <v>65</v>
      </c>
      <c r="D24" s="33"/>
      <c r="E24" s="40" t="s">
        <v>58</v>
      </c>
      <c r="F24" s="40" t="s">
        <v>58</v>
      </c>
      <c r="G24" s="14">
        <f t="shared" si="0"/>
        <v>0</v>
      </c>
      <c r="H24" s="14">
        <f t="shared" si="1"/>
        <v>0</v>
      </c>
      <c r="I24" s="41">
        <v>0</v>
      </c>
      <c r="J24" s="41">
        <v>0</v>
      </c>
      <c r="K24" s="41">
        <v>0</v>
      </c>
      <c r="L24" s="39">
        <v>0</v>
      </c>
      <c r="M24" s="13">
        <f t="shared" si="2"/>
        <v>0</v>
      </c>
      <c r="N24" s="13">
        <f t="shared" si="3"/>
        <v>0</v>
      </c>
      <c r="O24" s="13">
        <f t="shared" si="4"/>
        <v>0</v>
      </c>
      <c r="P24" s="13">
        <f t="shared" si="5"/>
        <v>0</v>
      </c>
      <c r="Q24" s="13">
        <f t="shared" si="6"/>
        <v>0</v>
      </c>
      <c r="R24" s="2"/>
    </row>
    <row r="25" spans="2:18">
      <c r="B25" s="2"/>
      <c r="C25" s="38" t="s">
        <v>66</v>
      </c>
      <c r="D25" s="33"/>
      <c r="E25" s="40" t="s">
        <v>58</v>
      </c>
      <c r="F25" s="40" t="s">
        <v>58</v>
      </c>
      <c r="G25" s="14">
        <f t="shared" si="0"/>
        <v>0</v>
      </c>
      <c r="H25" s="14">
        <f t="shared" si="1"/>
        <v>0</v>
      </c>
      <c r="I25" s="41">
        <v>0</v>
      </c>
      <c r="J25" s="41">
        <v>0</v>
      </c>
      <c r="K25" s="41">
        <v>0</v>
      </c>
      <c r="L25" s="39">
        <v>0</v>
      </c>
      <c r="M25" s="13">
        <f t="shared" si="2"/>
        <v>0</v>
      </c>
      <c r="N25" s="13">
        <f t="shared" si="3"/>
        <v>0</v>
      </c>
      <c r="O25" s="13">
        <f t="shared" si="4"/>
        <v>0</v>
      </c>
      <c r="P25" s="13">
        <f t="shared" si="5"/>
        <v>0</v>
      </c>
      <c r="Q25" s="13">
        <f t="shared" si="6"/>
        <v>0</v>
      </c>
      <c r="R25" s="2"/>
    </row>
    <row r="26" spans="2:18">
      <c r="B26" s="2"/>
      <c r="C26" s="38" t="s">
        <v>67</v>
      </c>
      <c r="D26" s="33"/>
      <c r="E26" s="40" t="s">
        <v>58</v>
      </c>
      <c r="F26" s="40" t="s">
        <v>58</v>
      </c>
      <c r="G26" s="14">
        <f t="shared" si="0"/>
        <v>0</v>
      </c>
      <c r="H26" s="14">
        <f t="shared" si="1"/>
        <v>0</v>
      </c>
      <c r="I26" s="41">
        <v>0</v>
      </c>
      <c r="J26" s="41">
        <v>0</v>
      </c>
      <c r="K26" s="41">
        <v>0</v>
      </c>
      <c r="L26" s="39">
        <v>0</v>
      </c>
      <c r="M26" s="13">
        <f t="shared" si="2"/>
        <v>0</v>
      </c>
      <c r="N26" s="13">
        <f t="shared" si="3"/>
        <v>0</v>
      </c>
      <c r="O26" s="13">
        <f t="shared" si="4"/>
        <v>0</v>
      </c>
      <c r="P26" s="13">
        <f t="shared" si="5"/>
        <v>0</v>
      </c>
      <c r="Q26" s="13">
        <f t="shared" si="6"/>
        <v>0</v>
      </c>
      <c r="R26" s="2"/>
    </row>
    <row r="27" spans="2:18">
      <c r="B27" s="2"/>
      <c r="C27" s="38" t="s">
        <v>68</v>
      </c>
      <c r="D27" s="33"/>
      <c r="E27" s="40" t="s">
        <v>58</v>
      </c>
      <c r="F27" s="40" t="s">
        <v>58</v>
      </c>
      <c r="G27" s="14">
        <f t="shared" si="0"/>
        <v>0</v>
      </c>
      <c r="H27" s="14">
        <f t="shared" si="1"/>
        <v>0</v>
      </c>
      <c r="I27" s="41">
        <v>0</v>
      </c>
      <c r="J27" s="41">
        <v>0</v>
      </c>
      <c r="K27" s="41">
        <v>0</v>
      </c>
      <c r="L27" s="39">
        <v>0</v>
      </c>
      <c r="M27" s="13">
        <f t="shared" si="2"/>
        <v>0</v>
      </c>
      <c r="N27" s="13">
        <f t="shared" si="3"/>
        <v>0</v>
      </c>
      <c r="O27" s="13">
        <f t="shared" si="4"/>
        <v>0</v>
      </c>
      <c r="P27" s="13">
        <f t="shared" si="5"/>
        <v>0</v>
      </c>
      <c r="Q27" s="13">
        <f t="shared" si="6"/>
        <v>0</v>
      </c>
      <c r="R27" s="2"/>
    </row>
    <row r="28" spans="2:18">
      <c r="B28" s="2"/>
      <c r="C28" s="38" t="s">
        <v>69</v>
      </c>
      <c r="D28" s="33"/>
      <c r="E28" s="40" t="s">
        <v>58</v>
      </c>
      <c r="F28" s="40" t="s">
        <v>58</v>
      </c>
      <c r="G28" s="14">
        <f t="shared" si="0"/>
        <v>0</v>
      </c>
      <c r="H28" s="14">
        <f t="shared" si="1"/>
        <v>0</v>
      </c>
      <c r="I28" s="41">
        <v>0</v>
      </c>
      <c r="J28" s="41">
        <v>0</v>
      </c>
      <c r="K28" s="41">
        <v>0</v>
      </c>
      <c r="L28" s="39">
        <v>0</v>
      </c>
      <c r="M28" s="13">
        <f t="shared" si="2"/>
        <v>0</v>
      </c>
      <c r="N28" s="13">
        <f t="shared" si="3"/>
        <v>0</v>
      </c>
      <c r="O28" s="13">
        <f t="shared" si="4"/>
        <v>0</v>
      </c>
      <c r="P28" s="13">
        <f t="shared" si="5"/>
        <v>0</v>
      </c>
      <c r="Q28" s="13">
        <f t="shared" si="6"/>
        <v>0</v>
      </c>
      <c r="R28" s="2"/>
    </row>
    <row r="29" spans="2:18">
      <c r="B29" s="2"/>
      <c r="C29" s="38" t="s">
        <v>70</v>
      </c>
      <c r="D29" s="33"/>
      <c r="E29" s="40" t="s">
        <v>58</v>
      </c>
      <c r="F29" s="40" t="s">
        <v>58</v>
      </c>
      <c r="G29" s="14">
        <f t="shared" si="0"/>
        <v>0</v>
      </c>
      <c r="H29" s="14">
        <f t="shared" si="1"/>
        <v>0</v>
      </c>
      <c r="I29" s="41">
        <v>0</v>
      </c>
      <c r="J29" s="41">
        <v>0</v>
      </c>
      <c r="K29" s="41">
        <v>0</v>
      </c>
      <c r="L29" s="39">
        <v>0</v>
      </c>
      <c r="M29" s="13">
        <f t="shared" si="2"/>
        <v>0</v>
      </c>
      <c r="N29" s="13">
        <f t="shared" si="3"/>
        <v>0</v>
      </c>
      <c r="O29" s="13">
        <f t="shared" si="4"/>
        <v>0</v>
      </c>
      <c r="P29" s="13">
        <f t="shared" si="5"/>
        <v>0</v>
      </c>
      <c r="Q29" s="13">
        <f t="shared" si="6"/>
        <v>0</v>
      </c>
      <c r="R29" s="2"/>
    </row>
    <row r="30" spans="2:18">
      <c r="B30" s="2"/>
      <c r="C30" s="38" t="s">
        <v>71</v>
      </c>
      <c r="D30" s="33"/>
      <c r="E30" s="40" t="s">
        <v>58</v>
      </c>
      <c r="F30" s="40" t="s">
        <v>58</v>
      </c>
      <c r="G30" s="14">
        <f t="shared" si="0"/>
        <v>0</v>
      </c>
      <c r="H30" s="14">
        <f t="shared" si="1"/>
        <v>0</v>
      </c>
      <c r="I30" s="41">
        <v>0</v>
      </c>
      <c r="J30" s="41">
        <v>0</v>
      </c>
      <c r="K30" s="41">
        <v>0</v>
      </c>
      <c r="L30" s="39">
        <v>0</v>
      </c>
      <c r="M30" s="13">
        <f t="shared" si="2"/>
        <v>0</v>
      </c>
      <c r="N30" s="13">
        <f t="shared" si="3"/>
        <v>0</v>
      </c>
      <c r="O30" s="13">
        <f t="shared" si="4"/>
        <v>0</v>
      </c>
      <c r="P30" s="13">
        <f t="shared" si="5"/>
        <v>0</v>
      </c>
      <c r="Q30" s="13">
        <f t="shared" si="6"/>
        <v>0</v>
      </c>
      <c r="R30" s="2"/>
    </row>
    <row r="31" spans="2:18">
      <c r="B31" s="2"/>
      <c r="C31" s="38" t="s">
        <v>72</v>
      </c>
      <c r="D31" s="33"/>
      <c r="E31" s="40" t="s">
        <v>58</v>
      </c>
      <c r="F31" s="40" t="s">
        <v>58</v>
      </c>
      <c r="G31" s="14">
        <f t="shared" si="0"/>
        <v>0</v>
      </c>
      <c r="H31" s="14">
        <f t="shared" si="1"/>
        <v>0</v>
      </c>
      <c r="I31" s="41">
        <v>0</v>
      </c>
      <c r="J31" s="41">
        <v>0</v>
      </c>
      <c r="K31" s="41">
        <v>0</v>
      </c>
      <c r="L31" s="39">
        <v>0</v>
      </c>
      <c r="M31" s="13">
        <f t="shared" si="2"/>
        <v>0</v>
      </c>
      <c r="N31" s="13">
        <f t="shared" si="3"/>
        <v>0</v>
      </c>
      <c r="O31" s="13">
        <f t="shared" si="4"/>
        <v>0</v>
      </c>
      <c r="P31" s="13">
        <f t="shared" si="5"/>
        <v>0</v>
      </c>
      <c r="Q31" s="13">
        <f t="shared" si="6"/>
        <v>0</v>
      </c>
      <c r="R31" s="2"/>
    </row>
    <row r="32" spans="2:18">
      <c r="B32" s="2"/>
      <c r="C32" s="38" t="s">
        <v>73</v>
      </c>
      <c r="D32" s="33"/>
      <c r="E32" s="40" t="s">
        <v>58</v>
      </c>
      <c r="F32" s="40" t="s">
        <v>58</v>
      </c>
      <c r="G32" s="14">
        <f t="shared" si="0"/>
        <v>0</v>
      </c>
      <c r="H32" s="14">
        <f t="shared" si="1"/>
        <v>0</v>
      </c>
      <c r="I32" s="41">
        <v>0</v>
      </c>
      <c r="J32" s="41">
        <v>0</v>
      </c>
      <c r="K32" s="41">
        <v>0</v>
      </c>
      <c r="L32" s="39">
        <v>0</v>
      </c>
      <c r="M32" s="13">
        <f t="shared" si="2"/>
        <v>0</v>
      </c>
      <c r="N32" s="13">
        <f t="shared" si="3"/>
        <v>0</v>
      </c>
      <c r="O32" s="13">
        <f t="shared" si="4"/>
        <v>0</v>
      </c>
      <c r="P32" s="13">
        <f t="shared" si="5"/>
        <v>0</v>
      </c>
      <c r="Q32" s="13">
        <f t="shared" si="6"/>
        <v>0</v>
      </c>
      <c r="R32" s="2"/>
    </row>
    <row r="33" spans="2:18">
      <c r="B33" s="2"/>
      <c r="C33" s="38" t="s">
        <v>74</v>
      </c>
      <c r="D33" s="33"/>
      <c r="E33" s="40" t="s">
        <v>58</v>
      </c>
      <c r="F33" s="40" t="s">
        <v>58</v>
      </c>
      <c r="G33" s="14">
        <f t="shared" si="0"/>
        <v>0</v>
      </c>
      <c r="H33" s="14">
        <f t="shared" si="1"/>
        <v>0</v>
      </c>
      <c r="I33" s="41">
        <v>0</v>
      </c>
      <c r="J33" s="41">
        <v>0</v>
      </c>
      <c r="K33" s="41">
        <v>0</v>
      </c>
      <c r="L33" s="39">
        <v>0</v>
      </c>
      <c r="M33" s="13">
        <f t="shared" si="2"/>
        <v>0</v>
      </c>
      <c r="N33" s="13">
        <f t="shared" si="3"/>
        <v>0</v>
      </c>
      <c r="O33" s="13">
        <f t="shared" si="4"/>
        <v>0</v>
      </c>
      <c r="P33" s="13">
        <f t="shared" si="5"/>
        <v>0</v>
      </c>
      <c r="Q33" s="13">
        <f t="shared" si="6"/>
        <v>0</v>
      </c>
      <c r="R33" s="2"/>
    </row>
    <row r="34" spans="2:18">
      <c r="B34" s="2"/>
      <c r="C34" s="38" t="s">
        <v>75</v>
      </c>
      <c r="D34" s="33"/>
      <c r="E34" s="40" t="s">
        <v>58</v>
      </c>
      <c r="F34" s="40" t="s">
        <v>58</v>
      </c>
      <c r="G34" s="14">
        <f t="shared" si="0"/>
        <v>0</v>
      </c>
      <c r="H34" s="14">
        <f t="shared" si="1"/>
        <v>0</v>
      </c>
      <c r="I34" s="41">
        <v>0</v>
      </c>
      <c r="J34" s="41">
        <v>0</v>
      </c>
      <c r="K34" s="41">
        <v>0</v>
      </c>
      <c r="L34" s="39">
        <v>0</v>
      </c>
      <c r="M34" s="13">
        <f t="shared" si="2"/>
        <v>0</v>
      </c>
      <c r="N34" s="13">
        <f t="shared" si="3"/>
        <v>0</v>
      </c>
      <c r="O34" s="13">
        <f t="shared" si="4"/>
        <v>0</v>
      </c>
      <c r="P34" s="13">
        <f t="shared" si="5"/>
        <v>0</v>
      </c>
      <c r="Q34" s="13">
        <f t="shared" si="6"/>
        <v>0</v>
      </c>
      <c r="R34" s="2"/>
    </row>
    <row r="35" spans="2:18">
      <c r="B35" s="2"/>
      <c r="C35" s="38" t="s">
        <v>76</v>
      </c>
      <c r="D35" s="33"/>
      <c r="E35" s="40" t="s">
        <v>58</v>
      </c>
      <c r="F35" s="40" t="s">
        <v>58</v>
      </c>
      <c r="G35" s="14">
        <f t="shared" si="0"/>
        <v>0</v>
      </c>
      <c r="H35" s="14">
        <f t="shared" si="1"/>
        <v>0</v>
      </c>
      <c r="I35" s="41">
        <v>0</v>
      </c>
      <c r="J35" s="41">
        <v>0</v>
      </c>
      <c r="K35" s="41">
        <v>0</v>
      </c>
      <c r="L35" s="39">
        <v>0</v>
      </c>
      <c r="M35" s="13">
        <f t="shared" si="2"/>
        <v>0</v>
      </c>
      <c r="N35" s="13">
        <f t="shared" si="3"/>
        <v>0</v>
      </c>
      <c r="O35" s="13">
        <f t="shared" si="4"/>
        <v>0</v>
      </c>
      <c r="P35" s="13">
        <f t="shared" si="5"/>
        <v>0</v>
      </c>
      <c r="Q35" s="13">
        <f t="shared" si="6"/>
        <v>0</v>
      </c>
      <c r="R35" s="2"/>
    </row>
    <row r="36" spans="2:18">
      <c r="B36" s="2"/>
      <c r="C36" s="38" t="s">
        <v>77</v>
      </c>
      <c r="D36" s="33"/>
      <c r="E36" s="40" t="s">
        <v>58</v>
      </c>
      <c r="F36" s="40" t="s">
        <v>58</v>
      </c>
      <c r="G36" s="14">
        <f t="shared" si="0"/>
        <v>0</v>
      </c>
      <c r="H36" s="14">
        <f t="shared" si="1"/>
        <v>0</v>
      </c>
      <c r="I36" s="41">
        <v>0</v>
      </c>
      <c r="J36" s="41">
        <v>0</v>
      </c>
      <c r="K36" s="41">
        <v>0</v>
      </c>
      <c r="L36" s="39">
        <v>0</v>
      </c>
      <c r="M36" s="13">
        <f t="shared" si="2"/>
        <v>0</v>
      </c>
      <c r="N36" s="13">
        <f t="shared" si="3"/>
        <v>0</v>
      </c>
      <c r="O36" s="13">
        <f t="shared" si="4"/>
        <v>0</v>
      </c>
      <c r="P36" s="13">
        <f t="shared" si="5"/>
        <v>0</v>
      </c>
      <c r="Q36" s="13">
        <f t="shared" si="6"/>
        <v>0</v>
      </c>
      <c r="R36" s="2"/>
    </row>
    <row r="37" spans="2:18">
      <c r="B37" s="2"/>
      <c r="C37" s="38" t="s">
        <v>78</v>
      </c>
      <c r="D37" s="33"/>
      <c r="E37" s="40" t="s">
        <v>58</v>
      </c>
      <c r="F37" s="40" t="s">
        <v>58</v>
      </c>
      <c r="G37" s="14">
        <f t="shared" si="0"/>
        <v>0</v>
      </c>
      <c r="H37" s="14">
        <f t="shared" si="1"/>
        <v>0</v>
      </c>
      <c r="I37" s="41">
        <v>0</v>
      </c>
      <c r="J37" s="41">
        <v>0</v>
      </c>
      <c r="K37" s="41">
        <v>0</v>
      </c>
      <c r="L37" s="39">
        <v>0</v>
      </c>
      <c r="M37" s="13">
        <f t="shared" si="2"/>
        <v>0</v>
      </c>
      <c r="N37" s="13">
        <f t="shared" si="3"/>
        <v>0</v>
      </c>
      <c r="O37" s="13">
        <f t="shared" si="4"/>
        <v>0</v>
      </c>
      <c r="P37" s="13">
        <f t="shared" si="5"/>
        <v>0</v>
      </c>
      <c r="Q37" s="13">
        <f t="shared" si="6"/>
        <v>0</v>
      </c>
      <c r="R37" s="2"/>
    </row>
    <row r="38" spans="2:18">
      <c r="B38" s="2"/>
      <c r="C38" s="38" t="s">
        <v>79</v>
      </c>
      <c r="D38" s="33"/>
      <c r="E38" s="40" t="s">
        <v>58</v>
      </c>
      <c r="F38" s="40" t="s">
        <v>58</v>
      </c>
      <c r="G38" s="14">
        <f t="shared" si="0"/>
        <v>0</v>
      </c>
      <c r="H38" s="14">
        <f t="shared" si="1"/>
        <v>0</v>
      </c>
      <c r="I38" s="41">
        <v>0</v>
      </c>
      <c r="J38" s="41">
        <v>0</v>
      </c>
      <c r="K38" s="41">
        <v>0</v>
      </c>
      <c r="L38" s="39">
        <v>0</v>
      </c>
      <c r="M38" s="13">
        <f t="shared" si="2"/>
        <v>0</v>
      </c>
      <c r="N38" s="13">
        <f t="shared" si="3"/>
        <v>0</v>
      </c>
      <c r="O38" s="13">
        <f t="shared" si="4"/>
        <v>0</v>
      </c>
      <c r="P38" s="13">
        <f t="shared" si="5"/>
        <v>0</v>
      </c>
      <c r="Q38" s="13">
        <f t="shared" si="6"/>
        <v>0</v>
      </c>
      <c r="R38" s="2"/>
    </row>
    <row r="39" spans="2:18">
      <c r="B39" s="2"/>
      <c r="C39" s="38" t="s">
        <v>80</v>
      </c>
      <c r="D39" s="33"/>
      <c r="E39" s="40" t="s">
        <v>58</v>
      </c>
      <c r="F39" s="40" t="s">
        <v>58</v>
      </c>
      <c r="G39" s="14">
        <f t="shared" si="0"/>
        <v>0</v>
      </c>
      <c r="H39" s="14">
        <f t="shared" si="1"/>
        <v>0</v>
      </c>
      <c r="I39" s="41">
        <v>0</v>
      </c>
      <c r="J39" s="41">
        <v>0</v>
      </c>
      <c r="K39" s="41">
        <v>0</v>
      </c>
      <c r="L39" s="39">
        <v>0</v>
      </c>
      <c r="M39" s="13">
        <f t="shared" si="2"/>
        <v>0</v>
      </c>
      <c r="N39" s="13">
        <f t="shared" si="3"/>
        <v>0</v>
      </c>
      <c r="O39" s="13">
        <f t="shared" si="4"/>
        <v>0</v>
      </c>
      <c r="P39" s="13">
        <f t="shared" si="5"/>
        <v>0</v>
      </c>
      <c r="Q39" s="13">
        <f t="shared" si="6"/>
        <v>0</v>
      </c>
      <c r="R39" s="2"/>
    </row>
    <row r="40" spans="2:18">
      <c r="B40" s="2"/>
      <c r="C40" s="38" t="s">
        <v>81</v>
      </c>
      <c r="D40" s="33"/>
      <c r="E40" s="40" t="s">
        <v>58</v>
      </c>
      <c r="F40" s="40" t="s">
        <v>58</v>
      </c>
      <c r="G40" s="14">
        <f t="shared" si="0"/>
        <v>0</v>
      </c>
      <c r="H40" s="14">
        <f t="shared" si="1"/>
        <v>0</v>
      </c>
      <c r="I40" s="41">
        <v>0</v>
      </c>
      <c r="J40" s="41">
        <v>0</v>
      </c>
      <c r="K40" s="41">
        <v>0</v>
      </c>
      <c r="L40" s="39">
        <v>0</v>
      </c>
      <c r="M40" s="13">
        <f t="shared" si="2"/>
        <v>0</v>
      </c>
      <c r="N40" s="13">
        <f t="shared" si="3"/>
        <v>0</v>
      </c>
      <c r="O40" s="13">
        <f t="shared" si="4"/>
        <v>0</v>
      </c>
      <c r="P40" s="13">
        <f t="shared" si="5"/>
        <v>0</v>
      </c>
      <c r="Q40" s="13">
        <f t="shared" si="6"/>
        <v>0</v>
      </c>
      <c r="R40" s="2"/>
    </row>
    <row r="41" spans="2:18">
      <c r="B41" s="2"/>
      <c r="C41" s="38" t="s">
        <v>82</v>
      </c>
      <c r="D41" s="33"/>
      <c r="E41" s="40" t="s">
        <v>58</v>
      </c>
      <c r="F41" s="40" t="s">
        <v>58</v>
      </c>
      <c r="G41" s="14">
        <f t="shared" si="0"/>
        <v>0</v>
      </c>
      <c r="H41" s="14">
        <f t="shared" si="1"/>
        <v>0</v>
      </c>
      <c r="I41" s="41">
        <v>0</v>
      </c>
      <c r="J41" s="41">
        <v>0</v>
      </c>
      <c r="K41" s="41">
        <v>0</v>
      </c>
      <c r="L41" s="39">
        <v>0</v>
      </c>
      <c r="M41" s="13">
        <f t="shared" si="2"/>
        <v>0</v>
      </c>
      <c r="N41" s="13">
        <f t="shared" si="3"/>
        <v>0</v>
      </c>
      <c r="O41" s="13">
        <f t="shared" si="4"/>
        <v>0</v>
      </c>
      <c r="P41" s="13">
        <f t="shared" si="5"/>
        <v>0</v>
      </c>
      <c r="Q41" s="13">
        <f t="shared" si="6"/>
        <v>0</v>
      </c>
      <c r="R41" s="2"/>
    </row>
    <row r="42" spans="2:18">
      <c r="B42" s="2"/>
      <c r="C42" s="38" t="s">
        <v>83</v>
      </c>
      <c r="D42" s="33"/>
      <c r="E42" s="40" t="s">
        <v>58</v>
      </c>
      <c r="F42" s="40" t="s">
        <v>58</v>
      </c>
      <c r="G42" s="14">
        <f t="shared" si="0"/>
        <v>0</v>
      </c>
      <c r="H42" s="14">
        <f t="shared" si="1"/>
        <v>0</v>
      </c>
      <c r="I42" s="41">
        <v>0</v>
      </c>
      <c r="J42" s="41">
        <v>0</v>
      </c>
      <c r="K42" s="41">
        <v>0</v>
      </c>
      <c r="L42" s="39">
        <v>0</v>
      </c>
      <c r="M42" s="13">
        <f t="shared" si="2"/>
        <v>0</v>
      </c>
      <c r="N42" s="13">
        <f t="shared" si="3"/>
        <v>0</v>
      </c>
      <c r="O42" s="13">
        <f t="shared" si="4"/>
        <v>0</v>
      </c>
      <c r="P42" s="13">
        <f t="shared" si="5"/>
        <v>0</v>
      </c>
      <c r="Q42" s="13">
        <f t="shared" si="6"/>
        <v>0</v>
      </c>
      <c r="R42" s="2"/>
    </row>
    <row r="43" spans="2:18">
      <c r="B43" s="2"/>
      <c r="C43" s="38" t="s">
        <v>84</v>
      </c>
      <c r="D43" s="33"/>
      <c r="E43" s="40" t="s">
        <v>58</v>
      </c>
      <c r="F43" s="40" t="s">
        <v>58</v>
      </c>
      <c r="G43" s="14">
        <f t="shared" si="0"/>
        <v>0</v>
      </c>
      <c r="H43" s="14">
        <f t="shared" si="1"/>
        <v>0</v>
      </c>
      <c r="I43" s="41">
        <v>0</v>
      </c>
      <c r="J43" s="41">
        <v>0</v>
      </c>
      <c r="K43" s="41">
        <v>0</v>
      </c>
      <c r="L43" s="39">
        <v>0</v>
      </c>
      <c r="M43" s="13">
        <f t="shared" si="2"/>
        <v>0</v>
      </c>
      <c r="N43" s="13">
        <f t="shared" si="3"/>
        <v>0</v>
      </c>
      <c r="O43" s="13">
        <f t="shared" si="4"/>
        <v>0</v>
      </c>
      <c r="P43" s="13">
        <f t="shared" si="5"/>
        <v>0</v>
      </c>
      <c r="Q43" s="13">
        <f t="shared" si="6"/>
        <v>0</v>
      </c>
      <c r="R43" s="2"/>
    </row>
    <row r="44" spans="2:18">
      <c r="B44" s="2"/>
      <c r="C44" s="38" t="s">
        <v>85</v>
      </c>
      <c r="D44" s="33"/>
      <c r="E44" s="40" t="s">
        <v>58</v>
      </c>
      <c r="F44" s="40" t="s">
        <v>58</v>
      </c>
      <c r="G44" s="14">
        <f t="shared" si="0"/>
        <v>0</v>
      </c>
      <c r="H44" s="14">
        <f t="shared" si="1"/>
        <v>0</v>
      </c>
      <c r="I44" s="41">
        <v>0</v>
      </c>
      <c r="J44" s="41">
        <v>0</v>
      </c>
      <c r="K44" s="41">
        <v>0</v>
      </c>
      <c r="L44" s="39">
        <v>0</v>
      </c>
      <c r="M44" s="13">
        <f t="shared" si="2"/>
        <v>0</v>
      </c>
      <c r="N44" s="13">
        <f t="shared" si="3"/>
        <v>0</v>
      </c>
      <c r="O44" s="13">
        <f t="shared" si="4"/>
        <v>0</v>
      </c>
      <c r="P44" s="13">
        <f t="shared" si="5"/>
        <v>0</v>
      </c>
      <c r="Q44" s="13">
        <f t="shared" si="6"/>
        <v>0</v>
      </c>
      <c r="R44" s="2"/>
    </row>
    <row r="45" spans="2:18">
      <c r="B45" s="2"/>
      <c r="C45" s="38" t="s">
        <v>86</v>
      </c>
      <c r="D45" s="33"/>
      <c r="E45" s="40" t="s">
        <v>58</v>
      </c>
      <c r="F45" s="40" t="s">
        <v>58</v>
      </c>
      <c r="G45" s="14">
        <f t="shared" si="0"/>
        <v>0</v>
      </c>
      <c r="H45" s="14">
        <f t="shared" si="1"/>
        <v>0</v>
      </c>
      <c r="I45" s="41">
        <v>0</v>
      </c>
      <c r="J45" s="41">
        <v>0</v>
      </c>
      <c r="K45" s="41">
        <v>0</v>
      </c>
      <c r="L45" s="39">
        <v>0</v>
      </c>
      <c r="M45" s="13">
        <f t="shared" si="2"/>
        <v>0</v>
      </c>
      <c r="N45" s="13">
        <f t="shared" si="3"/>
        <v>0</v>
      </c>
      <c r="O45" s="13">
        <f t="shared" si="4"/>
        <v>0</v>
      </c>
      <c r="P45" s="13">
        <f t="shared" si="5"/>
        <v>0</v>
      </c>
      <c r="Q45" s="13">
        <f t="shared" si="6"/>
        <v>0</v>
      </c>
      <c r="R45" s="2"/>
    </row>
    <row r="46" spans="2:18">
      <c r="B46" s="2"/>
      <c r="C46" s="38" t="s">
        <v>87</v>
      </c>
      <c r="D46" s="33"/>
      <c r="E46" s="40" t="s">
        <v>58</v>
      </c>
      <c r="F46" s="40" t="s">
        <v>58</v>
      </c>
      <c r="G46" s="14">
        <f t="shared" si="0"/>
        <v>0</v>
      </c>
      <c r="H46" s="14">
        <f t="shared" si="1"/>
        <v>0</v>
      </c>
      <c r="I46" s="41">
        <v>0</v>
      </c>
      <c r="J46" s="41">
        <v>0</v>
      </c>
      <c r="K46" s="41">
        <v>0</v>
      </c>
      <c r="L46" s="39">
        <v>0</v>
      </c>
      <c r="M46" s="13">
        <f t="shared" si="2"/>
        <v>0</v>
      </c>
      <c r="N46" s="13">
        <f t="shared" si="3"/>
        <v>0</v>
      </c>
      <c r="O46" s="13">
        <f t="shared" si="4"/>
        <v>0</v>
      </c>
      <c r="P46" s="13">
        <f t="shared" si="5"/>
        <v>0</v>
      </c>
      <c r="Q46" s="13">
        <f t="shared" si="6"/>
        <v>0</v>
      </c>
      <c r="R46" s="2"/>
    </row>
    <row r="47" spans="2:18">
      <c r="B47" s="2"/>
      <c r="C47" s="38" t="s">
        <v>88</v>
      </c>
      <c r="D47" s="33"/>
      <c r="E47" s="40" t="s">
        <v>58</v>
      </c>
      <c r="F47" s="40" t="s">
        <v>58</v>
      </c>
      <c r="G47" s="14">
        <f t="shared" si="0"/>
        <v>0</v>
      </c>
      <c r="H47" s="14">
        <f t="shared" si="1"/>
        <v>0</v>
      </c>
      <c r="I47" s="41">
        <v>0</v>
      </c>
      <c r="J47" s="41">
        <v>0</v>
      </c>
      <c r="K47" s="41">
        <v>0</v>
      </c>
      <c r="L47" s="39">
        <v>0</v>
      </c>
      <c r="M47" s="13">
        <f t="shared" si="2"/>
        <v>0</v>
      </c>
      <c r="N47" s="13">
        <f t="shared" si="3"/>
        <v>0</v>
      </c>
      <c r="O47" s="13">
        <f t="shared" si="4"/>
        <v>0</v>
      </c>
      <c r="P47" s="13">
        <f t="shared" si="5"/>
        <v>0</v>
      </c>
      <c r="Q47" s="13">
        <f t="shared" si="6"/>
        <v>0</v>
      </c>
      <c r="R47" s="2"/>
    </row>
    <row r="48" spans="2:18">
      <c r="B48" s="2"/>
      <c r="C48" s="38" t="s">
        <v>89</v>
      </c>
      <c r="D48" s="33"/>
      <c r="E48" s="40" t="s">
        <v>58</v>
      </c>
      <c r="F48" s="40" t="s">
        <v>58</v>
      </c>
      <c r="G48" s="14">
        <f t="shared" ref="G48:G79" si="7">H48+I48</f>
        <v>0</v>
      </c>
      <c r="H48" s="14">
        <f t="shared" ref="H48:H79" si="8">J48+K48</f>
        <v>0</v>
      </c>
      <c r="I48" s="41">
        <v>0</v>
      </c>
      <c r="J48" s="41">
        <v>0</v>
      </c>
      <c r="K48" s="41">
        <v>0</v>
      </c>
      <c r="L48" s="39">
        <v>0</v>
      </c>
      <c r="M48" s="13">
        <f t="shared" ref="M48:M79" si="9">G48*L48</f>
        <v>0</v>
      </c>
      <c r="N48" s="13">
        <f t="shared" ref="N48:N79" si="10">H48*L48</f>
        <v>0</v>
      </c>
      <c r="O48" s="13">
        <f t="shared" ref="O48:O79" si="11">I48*L48</f>
        <v>0</v>
      </c>
      <c r="P48" s="13">
        <f t="shared" ref="P48:P79" si="12">J48*L48</f>
        <v>0</v>
      </c>
      <c r="Q48" s="13">
        <f t="shared" ref="Q48:Q79" si="13">K48*L48</f>
        <v>0</v>
      </c>
      <c r="R48" s="2"/>
    </row>
    <row r="49" spans="2:18">
      <c r="B49" s="2"/>
      <c r="C49" s="38" t="s">
        <v>90</v>
      </c>
      <c r="D49" s="33"/>
      <c r="E49" s="40" t="s">
        <v>58</v>
      </c>
      <c r="F49" s="40" t="s">
        <v>58</v>
      </c>
      <c r="G49" s="14">
        <f t="shared" si="7"/>
        <v>0</v>
      </c>
      <c r="H49" s="14">
        <f t="shared" si="8"/>
        <v>0</v>
      </c>
      <c r="I49" s="41">
        <v>0</v>
      </c>
      <c r="J49" s="41">
        <v>0</v>
      </c>
      <c r="K49" s="41">
        <v>0</v>
      </c>
      <c r="L49" s="39">
        <v>0</v>
      </c>
      <c r="M49" s="13">
        <f t="shared" si="9"/>
        <v>0</v>
      </c>
      <c r="N49" s="13">
        <f t="shared" si="10"/>
        <v>0</v>
      </c>
      <c r="O49" s="13">
        <f t="shared" si="11"/>
        <v>0</v>
      </c>
      <c r="P49" s="13">
        <f t="shared" si="12"/>
        <v>0</v>
      </c>
      <c r="Q49" s="13">
        <f t="shared" si="13"/>
        <v>0</v>
      </c>
      <c r="R49" s="2"/>
    </row>
    <row r="50" spans="2:18">
      <c r="B50" s="2"/>
      <c r="C50" s="38" t="s">
        <v>91</v>
      </c>
      <c r="D50" s="33"/>
      <c r="E50" s="40" t="s">
        <v>58</v>
      </c>
      <c r="F50" s="40" t="s">
        <v>58</v>
      </c>
      <c r="G50" s="14">
        <f t="shared" si="7"/>
        <v>0</v>
      </c>
      <c r="H50" s="14">
        <f t="shared" si="8"/>
        <v>0</v>
      </c>
      <c r="I50" s="41">
        <v>0</v>
      </c>
      <c r="J50" s="41">
        <v>0</v>
      </c>
      <c r="K50" s="41">
        <v>0</v>
      </c>
      <c r="L50" s="39">
        <v>0</v>
      </c>
      <c r="M50" s="13">
        <f t="shared" si="9"/>
        <v>0</v>
      </c>
      <c r="N50" s="13">
        <f t="shared" si="10"/>
        <v>0</v>
      </c>
      <c r="O50" s="13">
        <f t="shared" si="11"/>
        <v>0</v>
      </c>
      <c r="P50" s="13">
        <f t="shared" si="12"/>
        <v>0</v>
      </c>
      <c r="Q50" s="13">
        <f t="shared" si="13"/>
        <v>0</v>
      </c>
      <c r="R50" s="2"/>
    </row>
    <row r="51" spans="2:18">
      <c r="B51" s="2"/>
      <c r="C51" s="38" t="s">
        <v>92</v>
      </c>
      <c r="D51" s="33"/>
      <c r="E51" s="40" t="s">
        <v>58</v>
      </c>
      <c r="F51" s="40" t="s">
        <v>58</v>
      </c>
      <c r="G51" s="14">
        <f t="shared" si="7"/>
        <v>0</v>
      </c>
      <c r="H51" s="14">
        <f t="shared" si="8"/>
        <v>0</v>
      </c>
      <c r="I51" s="41">
        <v>0</v>
      </c>
      <c r="J51" s="41">
        <v>0</v>
      </c>
      <c r="K51" s="41">
        <v>0</v>
      </c>
      <c r="L51" s="39">
        <v>0</v>
      </c>
      <c r="M51" s="13">
        <f t="shared" si="9"/>
        <v>0</v>
      </c>
      <c r="N51" s="13">
        <f t="shared" si="10"/>
        <v>0</v>
      </c>
      <c r="O51" s="13">
        <f t="shared" si="11"/>
        <v>0</v>
      </c>
      <c r="P51" s="13">
        <f t="shared" si="12"/>
        <v>0</v>
      </c>
      <c r="Q51" s="13">
        <f t="shared" si="13"/>
        <v>0</v>
      </c>
      <c r="R51" s="2"/>
    </row>
    <row r="52" spans="2:18">
      <c r="B52" s="2"/>
      <c r="C52" s="38" t="s">
        <v>93</v>
      </c>
      <c r="D52" s="33"/>
      <c r="E52" s="40" t="s">
        <v>58</v>
      </c>
      <c r="F52" s="40" t="s">
        <v>58</v>
      </c>
      <c r="G52" s="14">
        <f t="shared" si="7"/>
        <v>0</v>
      </c>
      <c r="H52" s="14">
        <f t="shared" si="8"/>
        <v>0</v>
      </c>
      <c r="I52" s="41">
        <v>0</v>
      </c>
      <c r="J52" s="41">
        <v>0</v>
      </c>
      <c r="K52" s="41">
        <v>0</v>
      </c>
      <c r="L52" s="39">
        <v>0</v>
      </c>
      <c r="M52" s="13">
        <f t="shared" si="9"/>
        <v>0</v>
      </c>
      <c r="N52" s="13">
        <f t="shared" si="10"/>
        <v>0</v>
      </c>
      <c r="O52" s="13">
        <f t="shared" si="11"/>
        <v>0</v>
      </c>
      <c r="P52" s="13">
        <f t="shared" si="12"/>
        <v>0</v>
      </c>
      <c r="Q52" s="13">
        <f t="shared" si="13"/>
        <v>0</v>
      </c>
      <c r="R52" s="2"/>
    </row>
    <row r="53" spans="2:18">
      <c r="B53" s="2"/>
      <c r="C53" s="38" t="s">
        <v>94</v>
      </c>
      <c r="D53" s="33"/>
      <c r="E53" s="40" t="s">
        <v>58</v>
      </c>
      <c r="F53" s="40" t="s">
        <v>58</v>
      </c>
      <c r="G53" s="14">
        <f t="shared" si="7"/>
        <v>0</v>
      </c>
      <c r="H53" s="14">
        <f t="shared" si="8"/>
        <v>0</v>
      </c>
      <c r="I53" s="41">
        <v>0</v>
      </c>
      <c r="J53" s="41">
        <v>0</v>
      </c>
      <c r="K53" s="41">
        <v>0</v>
      </c>
      <c r="L53" s="39">
        <v>0</v>
      </c>
      <c r="M53" s="13">
        <f t="shared" si="9"/>
        <v>0</v>
      </c>
      <c r="N53" s="13">
        <f t="shared" si="10"/>
        <v>0</v>
      </c>
      <c r="O53" s="13">
        <f t="shared" si="11"/>
        <v>0</v>
      </c>
      <c r="P53" s="13">
        <f t="shared" si="12"/>
        <v>0</v>
      </c>
      <c r="Q53" s="13">
        <f t="shared" si="13"/>
        <v>0</v>
      </c>
      <c r="R53" s="2"/>
    </row>
    <row r="54" spans="2:18">
      <c r="B54" s="2"/>
      <c r="C54" s="38" t="s">
        <v>95</v>
      </c>
      <c r="D54" s="33"/>
      <c r="E54" s="40" t="s">
        <v>58</v>
      </c>
      <c r="F54" s="40" t="s">
        <v>58</v>
      </c>
      <c r="G54" s="14">
        <f t="shared" si="7"/>
        <v>0</v>
      </c>
      <c r="H54" s="14">
        <f t="shared" si="8"/>
        <v>0</v>
      </c>
      <c r="I54" s="41">
        <v>0</v>
      </c>
      <c r="J54" s="41">
        <v>0</v>
      </c>
      <c r="K54" s="41">
        <v>0</v>
      </c>
      <c r="L54" s="39">
        <v>0</v>
      </c>
      <c r="M54" s="13">
        <f t="shared" si="9"/>
        <v>0</v>
      </c>
      <c r="N54" s="13">
        <f t="shared" si="10"/>
        <v>0</v>
      </c>
      <c r="O54" s="13">
        <f t="shared" si="11"/>
        <v>0</v>
      </c>
      <c r="P54" s="13">
        <f t="shared" si="12"/>
        <v>0</v>
      </c>
      <c r="Q54" s="13">
        <f t="shared" si="13"/>
        <v>0</v>
      </c>
      <c r="R54" s="2"/>
    </row>
    <row r="55" spans="2:18">
      <c r="B55" s="2"/>
      <c r="C55" s="38" t="s">
        <v>96</v>
      </c>
      <c r="D55" s="33"/>
      <c r="E55" s="40" t="s">
        <v>58</v>
      </c>
      <c r="F55" s="40" t="s">
        <v>58</v>
      </c>
      <c r="G55" s="14">
        <f t="shared" si="7"/>
        <v>0</v>
      </c>
      <c r="H55" s="14">
        <f t="shared" si="8"/>
        <v>0</v>
      </c>
      <c r="I55" s="41">
        <v>0</v>
      </c>
      <c r="J55" s="41">
        <v>0</v>
      </c>
      <c r="K55" s="41">
        <v>0</v>
      </c>
      <c r="L55" s="39">
        <v>0</v>
      </c>
      <c r="M55" s="13">
        <f t="shared" si="9"/>
        <v>0</v>
      </c>
      <c r="N55" s="13">
        <f t="shared" si="10"/>
        <v>0</v>
      </c>
      <c r="O55" s="13">
        <f t="shared" si="11"/>
        <v>0</v>
      </c>
      <c r="P55" s="13">
        <f t="shared" si="12"/>
        <v>0</v>
      </c>
      <c r="Q55" s="13">
        <f t="shared" si="13"/>
        <v>0</v>
      </c>
      <c r="R55" s="2"/>
    </row>
    <row r="56" spans="2:18">
      <c r="B56" s="2"/>
      <c r="C56" s="38" t="s">
        <v>97</v>
      </c>
      <c r="D56" s="33"/>
      <c r="E56" s="40" t="s">
        <v>58</v>
      </c>
      <c r="F56" s="40" t="s">
        <v>58</v>
      </c>
      <c r="G56" s="14">
        <f t="shared" si="7"/>
        <v>0</v>
      </c>
      <c r="H56" s="14">
        <f t="shared" si="8"/>
        <v>0</v>
      </c>
      <c r="I56" s="41">
        <v>0</v>
      </c>
      <c r="J56" s="41">
        <v>0</v>
      </c>
      <c r="K56" s="41">
        <v>0</v>
      </c>
      <c r="L56" s="39">
        <v>0</v>
      </c>
      <c r="M56" s="13">
        <f t="shared" si="9"/>
        <v>0</v>
      </c>
      <c r="N56" s="13">
        <f t="shared" si="10"/>
        <v>0</v>
      </c>
      <c r="O56" s="13">
        <f t="shared" si="11"/>
        <v>0</v>
      </c>
      <c r="P56" s="13">
        <f t="shared" si="12"/>
        <v>0</v>
      </c>
      <c r="Q56" s="13">
        <f t="shared" si="13"/>
        <v>0</v>
      </c>
      <c r="R56" s="2"/>
    </row>
    <row r="57" spans="2:18">
      <c r="B57" s="2"/>
      <c r="C57" s="38" t="s">
        <v>98</v>
      </c>
      <c r="D57" s="33"/>
      <c r="E57" s="40" t="s">
        <v>58</v>
      </c>
      <c r="F57" s="40" t="s">
        <v>58</v>
      </c>
      <c r="G57" s="14">
        <f t="shared" si="7"/>
        <v>0</v>
      </c>
      <c r="H57" s="14">
        <f t="shared" si="8"/>
        <v>0</v>
      </c>
      <c r="I57" s="41">
        <v>0</v>
      </c>
      <c r="J57" s="41">
        <v>0</v>
      </c>
      <c r="K57" s="41">
        <v>0</v>
      </c>
      <c r="L57" s="39">
        <v>0</v>
      </c>
      <c r="M57" s="13">
        <f t="shared" si="9"/>
        <v>0</v>
      </c>
      <c r="N57" s="13">
        <f t="shared" si="10"/>
        <v>0</v>
      </c>
      <c r="O57" s="13">
        <f t="shared" si="11"/>
        <v>0</v>
      </c>
      <c r="P57" s="13">
        <f t="shared" si="12"/>
        <v>0</v>
      </c>
      <c r="Q57" s="13">
        <f t="shared" si="13"/>
        <v>0</v>
      </c>
      <c r="R57" s="2"/>
    </row>
    <row r="58" spans="2:18">
      <c r="B58" s="2"/>
      <c r="C58" s="38" t="s">
        <v>99</v>
      </c>
      <c r="D58" s="33"/>
      <c r="E58" s="40" t="s">
        <v>58</v>
      </c>
      <c r="F58" s="40" t="s">
        <v>58</v>
      </c>
      <c r="G58" s="14">
        <f t="shared" si="7"/>
        <v>0</v>
      </c>
      <c r="H58" s="14">
        <f t="shared" si="8"/>
        <v>0</v>
      </c>
      <c r="I58" s="41">
        <v>0</v>
      </c>
      <c r="J58" s="41">
        <v>0</v>
      </c>
      <c r="K58" s="41">
        <v>0</v>
      </c>
      <c r="L58" s="39">
        <v>0</v>
      </c>
      <c r="M58" s="13">
        <f t="shared" si="9"/>
        <v>0</v>
      </c>
      <c r="N58" s="13">
        <f t="shared" si="10"/>
        <v>0</v>
      </c>
      <c r="O58" s="13">
        <f t="shared" si="11"/>
        <v>0</v>
      </c>
      <c r="P58" s="13">
        <f t="shared" si="12"/>
        <v>0</v>
      </c>
      <c r="Q58" s="13">
        <f t="shared" si="13"/>
        <v>0</v>
      </c>
      <c r="R58" s="2"/>
    </row>
    <row r="59" spans="2:18">
      <c r="B59" s="2"/>
      <c r="C59" s="38" t="s">
        <v>100</v>
      </c>
      <c r="D59" s="33"/>
      <c r="E59" s="40" t="s">
        <v>58</v>
      </c>
      <c r="F59" s="40" t="s">
        <v>58</v>
      </c>
      <c r="G59" s="14">
        <f t="shared" si="7"/>
        <v>0</v>
      </c>
      <c r="H59" s="14">
        <f t="shared" si="8"/>
        <v>0</v>
      </c>
      <c r="I59" s="41">
        <v>0</v>
      </c>
      <c r="J59" s="41">
        <v>0</v>
      </c>
      <c r="K59" s="41">
        <v>0</v>
      </c>
      <c r="L59" s="39">
        <v>0</v>
      </c>
      <c r="M59" s="13">
        <f t="shared" si="9"/>
        <v>0</v>
      </c>
      <c r="N59" s="13">
        <f t="shared" si="10"/>
        <v>0</v>
      </c>
      <c r="O59" s="13">
        <f t="shared" si="11"/>
        <v>0</v>
      </c>
      <c r="P59" s="13">
        <f t="shared" si="12"/>
        <v>0</v>
      </c>
      <c r="Q59" s="13">
        <f t="shared" si="13"/>
        <v>0</v>
      </c>
      <c r="R59" s="2"/>
    </row>
    <row r="60" spans="2:18">
      <c r="B60" s="2"/>
      <c r="C60" s="38" t="s">
        <v>101</v>
      </c>
      <c r="D60" s="33"/>
      <c r="E60" s="40" t="s">
        <v>58</v>
      </c>
      <c r="F60" s="40" t="s">
        <v>58</v>
      </c>
      <c r="G60" s="14">
        <f t="shared" si="7"/>
        <v>0</v>
      </c>
      <c r="H60" s="14">
        <f t="shared" si="8"/>
        <v>0</v>
      </c>
      <c r="I60" s="41">
        <v>0</v>
      </c>
      <c r="J60" s="41">
        <v>0</v>
      </c>
      <c r="K60" s="41">
        <v>0</v>
      </c>
      <c r="L60" s="39">
        <v>0</v>
      </c>
      <c r="M60" s="13">
        <f t="shared" si="9"/>
        <v>0</v>
      </c>
      <c r="N60" s="13">
        <f t="shared" si="10"/>
        <v>0</v>
      </c>
      <c r="O60" s="13">
        <f t="shared" si="11"/>
        <v>0</v>
      </c>
      <c r="P60" s="13">
        <f t="shared" si="12"/>
        <v>0</v>
      </c>
      <c r="Q60" s="13">
        <f t="shared" si="13"/>
        <v>0</v>
      </c>
      <c r="R60" s="2"/>
    </row>
    <row r="61" spans="2:18">
      <c r="B61" s="2"/>
      <c r="C61" s="38" t="s">
        <v>102</v>
      </c>
      <c r="D61" s="33"/>
      <c r="E61" s="40" t="s">
        <v>58</v>
      </c>
      <c r="F61" s="40" t="s">
        <v>58</v>
      </c>
      <c r="G61" s="14">
        <f t="shared" si="7"/>
        <v>0</v>
      </c>
      <c r="H61" s="14">
        <f t="shared" si="8"/>
        <v>0</v>
      </c>
      <c r="I61" s="41">
        <v>0</v>
      </c>
      <c r="J61" s="41">
        <v>0</v>
      </c>
      <c r="K61" s="41">
        <v>0</v>
      </c>
      <c r="L61" s="39">
        <v>0</v>
      </c>
      <c r="M61" s="13">
        <f t="shared" si="9"/>
        <v>0</v>
      </c>
      <c r="N61" s="13">
        <f t="shared" si="10"/>
        <v>0</v>
      </c>
      <c r="O61" s="13">
        <f t="shared" si="11"/>
        <v>0</v>
      </c>
      <c r="P61" s="13">
        <f t="shared" si="12"/>
        <v>0</v>
      </c>
      <c r="Q61" s="13">
        <f t="shared" si="13"/>
        <v>0</v>
      </c>
      <c r="R61" s="2"/>
    </row>
    <row r="62" spans="2:18">
      <c r="B62" s="2"/>
      <c r="C62" s="38" t="s">
        <v>103</v>
      </c>
      <c r="D62" s="33"/>
      <c r="E62" s="40" t="s">
        <v>58</v>
      </c>
      <c r="F62" s="40" t="s">
        <v>58</v>
      </c>
      <c r="G62" s="14">
        <f t="shared" si="7"/>
        <v>0</v>
      </c>
      <c r="H62" s="14">
        <f t="shared" si="8"/>
        <v>0</v>
      </c>
      <c r="I62" s="41">
        <v>0</v>
      </c>
      <c r="J62" s="41">
        <v>0</v>
      </c>
      <c r="K62" s="41">
        <v>0</v>
      </c>
      <c r="L62" s="39">
        <v>0</v>
      </c>
      <c r="M62" s="13">
        <f t="shared" si="9"/>
        <v>0</v>
      </c>
      <c r="N62" s="13">
        <f t="shared" si="10"/>
        <v>0</v>
      </c>
      <c r="O62" s="13">
        <f t="shared" si="11"/>
        <v>0</v>
      </c>
      <c r="P62" s="13">
        <f t="shared" si="12"/>
        <v>0</v>
      </c>
      <c r="Q62" s="13">
        <f t="shared" si="13"/>
        <v>0</v>
      </c>
      <c r="R62" s="2"/>
    </row>
    <row r="63" spans="2:18">
      <c r="B63" s="2"/>
      <c r="C63" s="38" t="s">
        <v>104</v>
      </c>
      <c r="D63" s="33"/>
      <c r="E63" s="40" t="s">
        <v>58</v>
      </c>
      <c r="F63" s="40" t="s">
        <v>58</v>
      </c>
      <c r="G63" s="14">
        <f t="shared" si="7"/>
        <v>0</v>
      </c>
      <c r="H63" s="14">
        <f t="shared" si="8"/>
        <v>0</v>
      </c>
      <c r="I63" s="41">
        <v>0</v>
      </c>
      <c r="J63" s="41">
        <v>0</v>
      </c>
      <c r="K63" s="41">
        <v>0</v>
      </c>
      <c r="L63" s="39">
        <v>0</v>
      </c>
      <c r="M63" s="13">
        <f t="shared" si="9"/>
        <v>0</v>
      </c>
      <c r="N63" s="13">
        <f t="shared" si="10"/>
        <v>0</v>
      </c>
      <c r="O63" s="13">
        <f t="shared" si="11"/>
        <v>0</v>
      </c>
      <c r="P63" s="13">
        <f t="shared" si="12"/>
        <v>0</v>
      </c>
      <c r="Q63" s="13">
        <f t="shared" si="13"/>
        <v>0</v>
      </c>
      <c r="R63" s="2"/>
    </row>
    <row r="64" spans="2:18">
      <c r="B64" s="2"/>
      <c r="C64" s="38" t="s">
        <v>105</v>
      </c>
      <c r="D64" s="33"/>
      <c r="E64" s="40" t="s">
        <v>58</v>
      </c>
      <c r="F64" s="40" t="s">
        <v>58</v>
      </c>
      <c r="G64" s="14">
        <f t="shared" si="7"/>
        <v>0</v>
      </c>
      <c r="H64" s="14">
        <f t="shared" si="8"/>
        <v>0</v>
      </c>
      <c r="I64" s="41">
        <v>0</v>
      </c>
      <c r="J64" s="41">
        <v>0</v>
      </c>
      <c r="K64" s="41">
        <v>0</v>
      </c>
      <c r="L64" s="39">
        <v>0</v>
      </c>
      <c r="M64" s="13">
        <f t="shared" si="9"/>
        <v>0</v>
      </c>
      <c r="N64" s="13">
        <f t="shared" si="10"/>
        <v>0</v>
      </c>
      <c r="O64" s="13">
        <f t="shared" si="11"/>
        <v>0</v>
      </c>
      <c r="P64" s="13">
        <f t="shared" si="12"/>
        <v>0</v>
      </c>
      <c r="Q64" s="13">
        <f t="shared" si="13"/>
        <v>0</v>
      </c>
      <c r="R64" s="2"/>
    </row>
    <row r="65" spans="2:18">
      <c r="B65" s="2"/>
      <c r="C65" s="38" t="s">
        <v>106</v>
      </c>
      <c r="D65" s="33"/>
      <c r="E65" s="40" t="s">
        <v>58</v>
      </c>
      <c r="F65" s="40" t="s">
        <v>58</v>
      </c>
      <c r="G65" s="14">
        <f t="shared" si="7"/>
        <v>0</v>
      </c>
      <c r="H65" s="14">
        <f t="shared" si="8"/>
        <v>0</v>
      </c>
      <c r="I65" s="41">
        <v>0</v>
      </c>
      <c r="J65" s="41">
        <v>0</v>
      </c>
      <c r="K65" s="41">
        <v>0</v>
      </c>
      <c r="L65" s="39">
        <v>0</v>
      </c>
      <c r="M65" s="13">
        <f t="shared" si="9"/>
        <v>0</v>
      </c>
      <c r="N65" s="13">
        <f t="shared" si="10"/>
        <v>0</v>
      </c>
      <c r="O65" s="13">
        <f t="shared" si="11"/>
        <v>0</v>
      </c>
      <c r="P65" s="13">
        <f t="shared" si="12"/>
        <v>0</v>
      </c>
      <c r="Q65" s="13">
        <f t="shared" si="13"/>
        <v>0</v>
      </c>
      <c r="R65" s="2"/>
    </row>
    <row r="66" spans="2:18">
      <c r="B66" s="2"/>
      <c r="C66" s="38" t="s">
        <v>107</v>
      </c>
      <c r="D66" s="33"/>
      <c r="E66" s="40" t="s">
        <v>58</v>
      </c>
      <c r="F66" s="40" t="s">
        <v>58</v>
      </c>
      <c r="G66" s="14">
        <f t="shared" si="7"/>
        <v>0</v>
      </c>
      <c r="H66" s="14">
        <f t="shared" si="8"/>
        <v>0</v>
      </c>
      <c r="I66" s="41">
        <v>0</v>
      </c>
      <c r="J66" s="41">
        <v>0</v>
      </c>
      <c r="K66" s="41">
        <v>0</v>
      </c>
      <c r="L66" s="39">
        <v>0</v>
      </c>
      <c r="M66" s="13">
        <f t="shared" si="9"/>
        <v>0</v>
      </c>
      <c r="N66" s="13">
        <f t="shared" si="10"/>
        <v>0</v>
      </c>
      <c r="O66" s="13">
        <f t="shared" si="11"/>
        <v>0</v>
      </c>
      <c r="P66" s="13">
        <f t="shared" si="12"/>
        <v>0</v>
      </c>
      <c r="Q66" s="13">
        <f t="shared" si="13"/>
        <v>0</v>
      </c>
      <c r="R66" s="2"/>
    </row>
    <row r="67" spans="2:18">
      <c r="B67" s="2"/>
      <c r="C67" s="38" t="s">
        <v>108</v>
      </c>
      <c r="D67" s="33"/>
      <c r="E67" s="40" t="s">
        <v>58</v>
      </c>
      <c r="F67" s="40" t="s">
        <v>58</v>
      </c>
      <c r="G67" s="14">
        <f t="shared" si="7"/>
        <v>0</v>
      </c>
      <c r="H67" s="14">
        <f t="shared" si="8"/>
        <v>0</v>
      </c>
      <c r="I67" s="41">
        <v>0</v>
      </c>
      <c r="J67" s="41">
        <v>0</v>
      </c>
      <c r="K67" s="41">
        <v>0</v>
      </c>
      <c r="L67" s="39">
        <v>0</v>
      </c>
      <c r="M67" s="13">
        <f t="shared" si="9"/>
        <v>0</v>
      </c>
      <c r="N67" s="13">
        <f t="shared" si="10"/>
        <v>0</v>
      </c>
      <c r="O67" s="13">
        <f t="shared" si="11"/>
        <v>0</v>
      </c>
      <c r="P67" s="13">
        <f t="shared" si="12"/>
        <v>0</v>
      </c>
      <c r="Q67" s="13">
        <f t="shared" si="13"/>
        <v>0</v>
      </c>
      <c r="R67" s="2"/>
    </row>
    <row r="68" spans="2:18">
      <c r="B68" s="2"/>
      <c r="C68" s="38" t="s">
        <v>109</v>
      </c>
      <c r="D68" s="33"/>
      <c r="E68" s="40" t="s">
        <v>58</v>
      </c>
      <c r="F68" s="40" t="s">
        <v>58</v>
      </c>
      <c r="G68" s="14">
        <f t="shared" si="7"/>
        <v>0</v>
      </c>
      <c r="H68" s="14">
        <f t="shared" si="8"/>
        <v>0</v>
      </c>
      <c r="I68" s="41">
        <v>0</v>
      </c>
      <c r="J68" s="41">
        <v>0</v>
      </c>
      <c r="K68" s="41">
        <v>0</v>
      </c>
      <c r="L68" s="39">
        <v>0</v>
      </c>
      <c r="M68" s="13">
        <f t="shared" si="9"/>
        <v>0</v>
      </c>
      <c r="N68" s="13">
        <f t="shared" si="10"/>
        <v>0</v>
      </c>
      <c r="O68" s="13">
        <f t="shared" si="11"/>
        <v>0</v>
      </c>
      <c r="P68" s="13">
        <f t="shared" si="12"/>
        <v>0</v>
      </c>
      <c r="Q68" s="13">
        <f t="shared" si="13"/>
        <v>0</v>
      </c>
      <c r="R68" s="2"/>
    </row>
    <row r="69" spans="2:18">
      <c r="B69" s="2"/>
      <c r="C69" s="38" t="s">
        <v>110</v>
      </c>
      <c r="D69" s="33"/>
      <c r="E69" s="40" t="s">
        <v>58</v>
      </c>
      <c r="F69" s="40" t="s">
        <v>58</v>
      </c>
      <c r="G69" s="14">
        <f t="shared" si="7"/>
        <v>0</v>
      </c>
      <c r="H69" s="14">
        <f t="shared" si="8"/>
        <v>0</v>
      </c>
      <c r="I69" s="41">
        <v>0</v>
      </c>
      <c r="J69" s="41">
        <v>0</v>
      </c>
      <c r="K69" s="41">
        <v>0</v>
      </c>
      <c r="L69" s="39">
        <v>0</v>
      </c>
      <c r="M69" s="13">
        <f t="shared" si="9"/>
        <v>0</v>
      </c>
      <c r="N69" s="13">
        <f t="shared" si="10"/>
        <v>0</v>
      </c>
      <c r="O69" s="13">
        <f t="shared" si="11"/>
        <v>0</v>
      </c>
      <c r="P69" s="13">
        <f t="shared" si="12"/>
        <v>0</v>
      </c>
      <c r="Q69" s="13">
        <f t="shared" si="13"/>
        <v>0</v>
      </c>
      <c r="R69" s="2"/>
    </row>
    <row r="70" spans="2:18">
      <c r="B70" s="2"/>
      <c r="C70" s="38" t="s">
        <v>111</v>
      </c>
      <c r="D70" s="33"/>
      <c r="E70" s="40" t="s">
        <v>58</v>
      </c>
      <c r="F70" s="40" t="s">
        <v>58</v>
      </c>
      <c r="G70" s="14">
        <f t="shared" si="7"/>
        <v>0</v>
      </c>
      <c r="H70" s="14">
        <f t="shared" si="8"/>
        <v>0</v>
      </c>
      <c r="I70" s="41">
        <v>0</v>
      </c>
      <c r="J70" s="41">
        <v>0</v>
      </c>
      <c r="K70" s="41">
        <v>0</v>
      </c>
      <c r="L70" s="39">
        <v>0</v>
      </c>
      <c r="M70" s="13">
        <f t="shared" si="9"/>
        <v>0</v>
      </c>
      <c r="N70" s="13">
        <f t="shared" si="10"/>
        <v>0</v>
      </c>
      <c r="O70" s="13">
        <f t="shared" si="11"/>
        <v>0</v>
      </c>
      <c r="P70" s="13">
        <f t="shared" si="12"/>
        <v>0</v>
      </c>
      <c r="Q70" s="13">
        <f t="shared" si="13"/>
        <v>0</v>
      </c>
      <c r="R70" s="2"/>
    </row>
    <row r="71" spans="2:18">
      <c r="B71" s="2"/>
      <c r="C71" s="38" t="s">
        <v>112</v>
      </c>
      <c r="D71" s="33"/>
      <c r="E71" s="40" t="s">
        <v>58</v>
      </c>
      <c r="F71" s="40" t="s">
        <v>58</v>
      </c>
      <c r="G71" s="14">
        <f t="shared" si="7"/>
        <v>0</v>
      </c>
      <c r="H71" s="14">
        <f t="shared" si="8"/>
        <v>0</v>
      </c>
      <c r="I71" s="41">
        <v>0</v>
      </c>
      <c r="J71" s="41">
        <v>0</v>
      </c>
      <c r="K71" s="41">
        <v>0</v>
      </c>
      <c r="L71" s="39">
        <v>0</v>
      </c>
      <c r="M71" s="13">
        <f t="shared" si="9"/>
        <v>0</v>
      </c>
      <c r="N71" s="13">
        <f t="shared" si="10"/>
        <v>0</v>
      </c>
      <c r="O71" s="13">
        <f t="shared" si="11"/>
        <v>0</v>
      </c>
      <c r="P71" s="13">
        <f t="shared" si="12"/>
        <v>0</v>
      </c>
      <c r="Q71" s="13">
        <f t="shared" si="13"/>
        <v>0</v>
      </c>
      <c r="R71" s="2"/>
    </row>
    <row r="72" spans="2:18">
      <c r="B72" s="2"/>
      <c r="C72" s="38" t="s">
        <v>113</v>
      </c>
      <c r="D72" s="33"/>
      <c r="E72" s="40" t="s">
        <v>58</v>
      </c>
      <c r="F72" s="40" t="s">
        <v>58</v>
      </c>
      <c r="G72" s="14">
        <f t="shared" si="7"/>
        <v>0</v>
      </c>
      <c r="H72" s="14">
        <f t="shared" si="8"/>
        <v>0</v>
      </c>
      <c r="I72" s="41">
        <v>0</v>
      </c>
      <c r="J72" s="41">
        <v>0</v>
      </c>
      <c r="K72" s="41">
        <v>0</v>
      </c>
      <c r="L72" s="39">
        <v>0</v>
      </c>
      <c r="M72" s="13">
        <f t="shared" si="9"/>
        <v>0</v>
      </c>
      <c r="N72" s="13">
        <f t="shared" si="10"/>
        <v>0</v>
      </c>
      <c r="O72" s="13">
        <f t="shared" si="11"/>
        <v>0</v>
      </c>
      <c r="P72" s="13">
        <f t="shared" si="12"/>
        <v>0</v>
      </c>
      <c r="Q72" s="13">
        <f t="shared" si="13"/>
        <v>0</v>
      </c>
      <c r="R72" s="2"/>
    </row>
    <row r="73" spans="2:18">
      <c r="B73" s="2"/>
      <c r="C73" s="38" t="s">
        <v>114</v>
      </c>
      <c r="D73" s="33"/>
      <c r="E73" s="40" t="s">
        <v>58</v>
      </c>
      <c r="F73" s="40" t="s">
        <v>58</v>
      </c>
      <c r="G73" s="14">
        <f t="shared" si="7"/>
        <v>0</v>
      </c>
      <c r="H73" s="14">
        <f t="shared" si="8"/>
        <v>0</v>
      </c>
      <c r="I73" s="41">
        <v>0</v>
      </c>
      <c r="J73" s="41">
        <v>0</v>
      </c>
      <c r="K73" s="41">
        <v>0</v>
      </c>
      <c r="L73" s="39">
        <v>0</v>
      </c>
      <c r="M73" s="13">
        <f t="shared" si="9"/>
        <v>0</v>
      </c>
      <c r="N73" s="13">
        <f t="shared" si="10"/>
        <v>0</v>
      </c>
      <c r="O73" s="13">
        <f t="shared" si="11"/>
        <v>0</v>
      </c>
      <c r="P73" s="13">
        <f t="shared" si="12"/>
        <v>0</v>
      </c>
      <c r="Q73" s="13">
        <f t="shared" si="13"/>
        <v>0</v>
      </c>
      <c r="R73" s="2"/>
    </row>
    <row r="74" spans="2:18">
      <c r="B74" s="2"/>
      <c r="C74" s="38" t="s">
        <v>115</v>
      </c>
      <c r="D74" s="33"/>
      <c r="E74" s="40" t="s">
        <v>58</v>
      </c>
      <c r="F74" s="40" t="s">
        <v>58</v>
      </c>
      <c r="G74" s="14">
        <f t="shared" si="7"/>
        <v>0</v>
      </c>
      <c r="H74" s="14">
        <f t="shared" si="8"/>
        <v>0</v>
      </c>
      <c r="I74" s="41">
        <v>0</v>
      </c>
      <c r="J74" s="41">
        <v>0</v>
      </c>
      <c r="K74" s="41">
        <v>0</v>
      </c>
      <c r="L74" s="39">
        <v>0</v>
      </c>
      <c r="M74" s="13">
        <f t="shared" si="9"/>
        <v>0</v>
      </c>
      <c r="N74" s="13">
        <f t="shared" si="10"/>
        <v>0</v>
      </c>
      <c r="O74" s="13">
        <f t="shared" si="11"/>
        <v>0</v>
      </c>
      <c r="P74" s="13">
        <f t="shared" si="12"/>
        <v>0</v>
      </c>
      <c r="Q74" s="13">
        <f t="shared" si="13"/>
        <v>0</v>
      </c>
      <c r="R74" s="2"/>
    </row>
    <row r="75" spans="2:18">
      <c r="B75" s="2"/>
      <c r="C75" s="38" t="s">
        <v>116</v>
      </c>
      <c r="D75" s="33"/>
      <c r="E75" s="40" t="s">
        <v>58</v>
      </c>
      <c r="F75" s="40" t="s">
        <v>58</v>
      </c>
      <c r="G75" s="14">
        <f t="shared" si="7"/>
        <v>0</v>
      </c>
      <c r="H75" s="14">
        <f t="shared" si="8"/>
        <v>0</v>
      </c>
      <c r="I75" s="41">
        <v>0</v>
      </c>
      <c r="J75" s="41">
        <v>0</v>
      </c>
      <c r="K75" s="41">
        <v>0</v>
      </c>
      <c r="L75" s="39">
        <v>0</v>
      </c>
      <c r="M75" s="13">
        <f t="shared" si="9"/>
        <v>0</v>
      </c>
      <c r="N75" s="13">
        <f t="shared" si="10"/>
        <v>0</v>
      </c>
      <c r="O75" s="13">
        <f t="shared" si="11"/>
        <v>0</v>
      </c>
      <c r="P75" s="13">
        <f t="shared" si="12"/>
        <v>0</v>
      </c>
      <c r="Q75" s="13">
        <f t="shared" si="13"/>
        <v>0</v>
      </c>
      <c r="R75" s="2"/>
    </row>
    <row r="76" spans="2:18">
      <c r="B76" s="2"/>
      <c r="C76" s="38" t="s">
        <v>117</v>
      </c>
      <c r="D76" s="33"/>
      <c r="E76" s="40" t="s">
        <v>58</v>
      </c>
      <c r="F76" s="40" t="s">
        <v>58</v>
      </c>
      <c r="G76" s="14">
        <f t="shared" si="7"/>
        <v>0</v>
      </c>
      <c r="H76" s="14">
        <f t="shared" si="8"/>
        <v>0</v>
      </c>
      <c r="I76" s="41">
        <v>0</v>
      </c>
      <c r="J76" s="41">
        <v>0</v>
      </c>
      <c r="K76" s="41">
        <v>0</v>
      </c>
      <c r="L76" s="39">
        <v>0</v>
      </c>
      <c r="M76" s="13">
        <f t="shared" si="9"/>
        <v>0</v>
      </c>
      <c r="N76" s="13">
        <f t="shared" si="10"/>
        <v>0</v>
      </c>
      <c r="O76" s="13">
        <f t="shared" si="11"/>
        <v>0</v>
      </c>
      <c r="P76" s="13">
        <f t="shared" si="12"/>
        <v>0</v>
      </c>
      <c r="Q76" s="13">
        <f t="shared" si="13"/>
        <v>0</v>
      </c>
      <c r="R76" s="2"/>
    </row>
    <row r="77" spans="2:18">
      <c r="B77" s="2"/>
      <c r="C77" s="38" t="s">
        <v>118</v>
      </c>
      <c r="D77" s="33"/>
      <c r="E77" s="40" t="s">
        <v>58</v>
      </c>
      <c r="F77" s="40" t="s">
        <v>58</v>
      </c>
      <c r="G77" s="14">
        <f t="shared" si="7"/>
        <v>0</v>
      </c>
      <c r="H77" s="14">
        <f t="shared" si="8"/>
        <v>0</v>
      </c>
      <c r="I77" s="41">
        <v>0</v>
      </c>
      <c r="J77" s="41">
        <v>0</v>
      </c>
      <c r="K77" s="41">
        <v>0</v>
      </c>
      <c r="L77" s="39">
        <v>0</v>
      </c>
      <c r="M77" s="13">
        <f t="shared" si="9"/>
        <v>0</v>
      </c>
      <c r="N77" s="13">
        <f t="shared" si="10"/>
        <v>0</v>
      </c>
      <c r="O77" s="13">
        <f t="shared" si="11"/>
        <v>0</v>
      </c>
      <c r="P77" s="13">
        <f t="shared" si="12"/>
        <v>0</v>
      </c>
      <c r="Q77" s="13">
        <f t="shared" si="13"/>
        <v>0</v>
      </c>
      <c r="R77" s="2"/>
    </row>
    <row r="78" spans="2:18">
      <c r="B78" s="2"/>
      <c r="C78" s="38" t="s">
        <v>119</v>
      </c>
      <c r="D78" s="33"/>
      <c r="E78" s="40" t="s">
        <v>58</v>
      </c>
      <c r="F78" s="40" t="s">
        <v>58</v>
      </c>
      <c r="G78" s="14">
        <f t="shared" si="7"/>
        <v>0</v>
      </c>
      <c r="H78" s="14">
        <f t="shared" si="8"/>
        <v>0</v>
      </c>
      <c r="I78" s="41">
        <v>0</v>
      </c>
      <c r="J78" s="41">
        <v>0</v>
      </c>
      <c r="K78" s="41">
        <v>0</v>
      </c>
      <c r="L78" s="39">
        <v>0</v>
      </c>
      <c r="M78" s="13">
        <f t="shared" si="9"/>
        <v>0</v>
      </c>
      <c r="N78" s="13">
        <f t="shared" si="10"/>
        <v>0</v>
      </c>
      <c r="O78" s="13">
        <f t="shared" si="11"/>
        <v>0</v>
      </c>
      <c r="P78" s="13">
        <f t="shared" si="12"/>
        <v>0</v>
      </c>
      <c r="Q78" s="13">
        <f t="shared" si="13"/>
        <v>0</v>
      </c>
      <c r="R78" s="2"/>
    </row>
    <row r="79" spans="2:18">
      <c r="B79" s="2"/>
      <c r="C79" s="38" t="s">
        <v>120</v>
      </c>
      <c r="D79" s="33"/>
      <c r="E79" s="40" t="s">
        <v>58</v>
      </c>
      <c r="F79" s="40" t="s">
        <v>58</v>
      </c>
      <c r="G79" s="14">
        <f t="shared" si="7"/>
        <v>0</v>
      </c>
      <c r="H79" s="14">
        <f t="shared" si="8"/>
        <v>0</v>
      </c>
      <c r="I79" s="41">
        <v>0</v>
      </c>
      <c r="J79" s="41">
        <v>0</v>
      </c>
      <c r="K79" s="41">
        <v>0</v>
      </c>
      <c r="L79" s="39">
        <v>0</v>
      </c>
      <c r="M79" s="13">
        <f t="shared" si="9"/>
        <v>0</v>
      </c>
      <c r="N79" s="13">
        <f t="shared" si="10"/>
        <v>0</v>
      </c>
      <c r="O79" s="13">
        <f t="shared" si="11"/>
        <v>0</v>
      </c>
      <c r="P79" s="13">
        <f t="shared" si="12"/>
        <v>0</v>
      </c>
      <c r="Q79" s="13">
        <f t="shared" si="13"/>
        <v>0</v>
      </c>
      <c r="R79" s="2"/>
    </row>
    <row r="80" spans="2:18">
      <c r="B80" s="2"/>
      <c r="C80" s="38" t="s">
        <v>121</v>
      </c>
      <c r="D80" s="33"/>
      <c r="E80" s="40" t="s">
        <v>58</v>
      </c>
      <c r="F80" s="40" t="s">
        <v>58</v>
      </c>
      <c r="G80" s="14">
        <f t="shared" ref="G80:G111" si="14">H80+I80</f>
        <v>0</v>
      </c>
      <c r="H80" s="14">
        <f t="shared" ref="H80:H115" si="15">J80+K80</f>
        <v>0</v>
      </c>
      <c r="I80" s="41">
        <v>0</v>
      </c>
      <c r="J80" s="41">
        <v>0</v>
      </c>
      <c r="K80" s="41">
        <v>0</v>
      </c>
      <c r="L80" s="39">
        <v>0</v>
      </c>
      <c r="M80" s="13">
        <f t="shared" ref="M80:M111" si="16">G80*L80</f>
        <v>0</v>
      </c>
      <c r="N80" s="13">
        <f t="shared" ref="N80:N115" si="17">H80*L80</f>
        <v>0</v>
      </c>
      <c r="O80" s="13">
        <f t="shared" ref="O80:O115" si="18">I80*L80</f>
        <v>0</v>
      </c>
      <c r="P80" s="13">
        <f t="shared" ref="P80:P115" si="19">J80*L80</f>
        <v>0</v>
      </c>
      <c r="Q80" s="13">
        <f t="shared" ref="Q80:Q115" si="20">K80*L80</f>
        <v>0</v>
      </c>
      <c r="R80" s="2"/>
    </row>
    <row r="81" spans="2:18">
      <c r="B81" s="2"/>
      <c r="C81" s="38" t="s">
        <v>122</v>
      </c>
      <c r="D81" s="33"/>
      <c r="E81" s="40" t="s">
        <v>58</v>
      </c>
      <c r="F81" s="40" t="s">
        <v>58</v>
      </c>
      <c r="G81" s="14">
        <f t="shared" si="14"/>
        <v>0</v>
      </c>
      <c r="H81" s="14">
        <f t="shared" si="15"/>
        <v>0</v>
      </c>
      <c r="I81" s="41">
        <v>0</v>
      </c>
      <c r="J81" s="41">
        <v>0</v>
      </c>
      <c r="K81" s="41">
        <v>0</v>
      </c>
      <c r="L81" s="39">
        <v>0</v>
      </c>
      <c r="M81" s="13">
        <f t="shared" si="16"/>
        <v>0</v>
      </c>
      <c r="N81" s="13">
        <f t="shared" si="17"/>
        <v>0</v>
      </c>
      <c r="O81" s="13">
        <f t="shared" si="18"/>
        <v>0</v>
      </c>
      <c r="P81" s="13">
        <f t="shared" si="19"/>
        <v>0</v>
      </c>
      <c r="Q81" s="13">
        <f t="shared" si="20"/>
        <v>0</v>
      </c>
      <c r="R81" s="2"/>
    </row>
    <row r="82" spans="2:18">
      <c r="B82" s="2"/>
      <c r="C82" s="38" t="s">
        <v>123</v>
      </c>
      <c r="D82" s="33"/>
      <c r="E82" s="40" t="s">
        <v>58</v>
      </c>
      <c r="F82" s="40" t="s">
        <v>58</v>
      </c>
      <c r="G82" s="14">
        <f t="shared" si="14"/>
        <v>0</v>
      </c>
      <c r="H82" s="14">
        <f t="shared" si="15"/>
        <v>0</v>
      </c>
      <c r="I82" s="41">
        <v>0</v>
      </c>
      <c r="J82" s="41">
        <v>0</v>
      </c>
      <c r="K82" s="41">
        <v>0</v>
      </c>
      <c r="L82" s="39">
        <v>0</v>
      </c>
      <c r="M82" s="13">
        <f t="shared" si="16"/>
        <v>0</v>
      </c>
      <c r="N82" s="13">
        <f t="shared" si="17"/>
        <v>0</v>
      </c>
      <c r="O82" s="13">
        <f t="shared" si="18"/>
        <v>0</v>
      </c>
      <c r="P82" s="13">
        <f t="shared" si="19"/>
        <v>0</v>
      </c>
      <c r="Q82" s="13">
        <f t="shared" si="20"/>
        <v>0</v>
      </c>
      <c r="R82" s="2"/>
    </row>
    <row r="83" spans="2:18">
      <c r="B83" s="2"/>
      <c r="C83" s="38" t="s">
        <v>124</v>
      </c>
      <c r="D83" s="33"/>
      <c r="E83" s="40" t="s">
        <v>58</v>
      </c>
      <c r="F83" s="40" t="s">
        <v>58</v>
      </c>
      <c r="G83" s="14">
        <f t="shared" si="14"/>
        <v>0</v>
      </c>
      <c r="H83" s="14">
        <f t="shared" si="15"/>
        <v>0</v>
      </c>
      <c r="I83" s="41">
        <v>0</v>
      </c>
      <c r="J83" s="41">
        <v>0</v>
      </c>
      <c r="K83" s="41">
        <v>0</v>
      </c>
      <c r="L83" s="39">
        <v>0</v>
      </c>
      <c r="M83" s="13">
        <f t="shared" si="16"/>
        <v>0</v>
      </c>
      <c r="N83" s="13">
        <f t="shared" si="17"/>
        <v>0</v>
      </c>
      <c r="O83" s="13">
        <f t="shared" si="18"/>
        <v>0</v>
      </c>
      <c r="P83" s="13">
        <f t="shared" si="19"/>
        <v>0</v>
      </c>
      <c r="Q83" s="13">
        <f t="shared" si="20"/>
        <v>0</v>
      </c>
      <c r="R83" s="2"/>
    </row>
    <row r="84" spans="2:18">
      <c r="B84" s="2"/>
      <c r="C84" s="38" t="s">
        <v>125</v>
      </c>
      <c r="D84" s="33"/>
      <c r="E84" s="40" t="s">
        <v>58</v>
      </c>
      <c r="F84" s="40" t="s">
        <v>58</v>
      </c>
      <c r="G84" s="14">
        <f t="shared" si="14"/>
        <v>0</v>
      </c>
      <c r="H84" s="14">
        <f t="shared" si="15"/>
        <v>0</v>
      </c>
      <c r="I84" s="41">
        <v>0</v>
      </c>
      <c r="J84" s="41">
        <v>0</v>
      </c>
      <c r="K84" s="41">
        <v>0</v>
      </c>
      <c r="L84" s="39">
        <v>0</v>
      </c>
      <c r="M84" s="13">
        <f t="shared" si="16"/>
        <v>0</v>
      </c>
      <c r="N84" s="13">
        <f t="shared" si="17"/>
        <v>0</v>
      </c>
      <c r="O84" s="13">
        <f t="shared" si="18"/>
        <v>0</v>
      </c>
      <c r="P84" s="13">
        <f t="shared" si="19"/>
        <v>0</v>
      </c>
      <c r="Q84" s="13">
        <f t="shared" si="20"/>
        <v>0</v>
      </c>
      <c r="R84" s="2"/>
    </row>
    <row r="85" spans="2:18">
      <c r="B85" s="2"/>
      <c r="C85" s="38" t="s">
        <v>126</v>
      </c>
      <c r="D85" s="33"/>
      <c r="E85" s="40" t="s">
        <v>58</v>
      </c>
      <c r="F85" s="40" t="s">
        <v>58</v>
      </c>
      <c r="G85" s="14">
        <f t="shared" si="14"/>
        <v>0</v>
      </c>
      <c r="H85" s="14">
        <f t="shared" si="15"/>
        <v>0</v>
      </c>
      <c r="I85" s="41">
        <v>0</v>
      </c>
      <c r="J85" s="41">
        <v>0</v>
      </c>
      <c r="K85" s="41">
        <v>0</v>
      </c>
      <c r="L85" s="39">
        <v>0</v>
      </c>
      <c r="M85" s="13">
        <f t="shared" si="16"/>
        <v>0</v>
      </c>
      <c r="N85" s="13">
        <f t="shared" si="17"/>
        <v>0</v>
      </c>
      <c r="O85" s="13">
        <f t="shared" si="18"/>
        <v>0</v>
      </c>
      <c r="P85" s="13">
        <f t="shared" si="19"/>
        <v>0</v>
      </c>
      <c r="Q85" s="13">
        <f t="shared" si="20"/>
        <v>0</v>
      </c>
      <c r="R85" s="2"/>
    </row>
    <row r="86" spans="2:18">
      <c r="B86" s="2"/>
      <c r="C86" s="38" t="s">
        <v>127</v>
      </c>
      <c r="D86" s="33"/>
      <c r="E86" s="40" t="s">
        <v>58</v>
      </c>
      <c r="F86" s="40" t="s">
        <v>58</v>
      </c>
      <c r="G86" s="14">
        <f t="shared" si="14"/>
        <v>0</v>
      </c>
      <c r="H86" s="14">
        <f t="shared" si="15"/>
        <v>0</v>
      </c>
      <c r="I86" s="41">
        <v>0</v>
      </c>
      <c r="J86" s="41">
        <v>0</v>
      </c>
      <c r="K86" s="41">
        <v>0</v>
      </c>
      <c r="L86" s="39">
        <v>0</v>
      </c>
      <c r="M86" s="13">
        <f t="shared" si="16"/>
        <v>0</v>
      </c>
      <c r="N86" s="13">
        <f t="shared" si="17"/>
        <v>0</v>
      </c>
      <c r="O86" s="13">
        <f t="shared" si="18"/>
        <v>0</v>
      </c>
      <c r="P86" s="13">
        <f t="shared" si="19"/>
        <v>0</v>
      </c>
      <c r="Q86" s="13">
        <f t="shared" si="20"/>
        <v>0</v>
      </c>
      <c r="R86" s="2"/>
    </row>
    <row r="87" spans="2:18">
      <c r="B87" s="2"/>
      <c r="C87" s="38" t="s">
        <v>128</v>
      </c>
      <c r="D87" s="33"/>
      <c r="E87" s="40" t="s">
        <v>58</v>
      </c>
      <c r="F87" s="40" t="s">
        <v>58</v>
      </c>
      <c r="G87" s="14">
        <f t="shared" si="14"/>
        <v>0</v>
      </c>
      <c r="H87" s="14">
        <f t="shared" si="15"/>
        <v>0</v>
      </c>
      <c r="I87" s="41">
        <v>0</v>
      </c>
      <c r="J87" s="41">
        <v>0</v>
      </c>
      <c r="K87" s="41">
        <v>0</v>
      </c>
      <c r="L87" s="39">
        <v>0</v>
      </c>
      <c r="M87" s="13">
        <f t="shared" si="16"/>
        <v>0</v>
      </c>
      <c r="N87" s="13">
        <f t="shared" si="17"/>
        <v>0</v>
      </c>
      <c r="O87" s="13">
        <f t="shared" si="18"/>
        <v>0</v>
      </c>
      <c r="P87" s="13">
        <f t="shared" si="19"/>
        <v>0</v>
      </c>
      <c r="Q87" s="13">
        <f t="shared" si="20"/>
        <v>0</v>
      </c>
      <c r="R87" s="2"/>
    </row>
    <row r="88" spans="2:18">
      <c r="B88" s="2"/>
      <c r="C88" s="38" t="s">
        <v>129</v>
      </c>
      <c r="D88" s="33"/>
      <c r="E88" s="40" t="s">
        <v>58</v>
      </c>
      <c r="F88" s="40" t="s">
        <v>58</v>
      </c>
      <c r="G88" s="14">
        <f t="shared" si="14"/>
        <v>0</v>
      </c>
      <c r="H88" s="14">
        <f t="shared" si="15"/>
        <v>0</v>
      </c>
      <c r="I88" s="41">
        <v>0</v>
      </c>
      <c r="J88" s="41">
        <v>0</v>
      </c>
      <c r="K88" s="41">
        <v>0</v>
      </c>
      <c r="L88" s="39">
        <v>0</v>
      </c>
      <c r="M88" s="13">
        <f t="shared" si="16"/>
        <v>0</v>
      </c>
      <c r="N88" s="13">
        <f t="shared" si="17"/>
        <v>0</v>
      </c>
      <c r="O88" s="13">
        <f t="shared" si="18"/>
        <v>0</v>
      </c>
      <c r="P88" s="13">
        <f t="shared" si="19"/>
        <v>0</v>
      </c>
      <c r="Q88" s="13">
        <f t="shared" si="20"/>
        <v>0</v>
      </c>
      <c r="R88" s="2"/>
    </row>
    <row r="89" spans="2:18">
      <c r="B89" s="2"/>
      <c r="C89" s="38" t="s">
        <v>130</v>
      </c>
      <c r="D89" s="33"/>
      <c r="E89" s="40" t="s">
        <v>58</v>
      </c>
      <c r="F89" s="40" t="s">
        <v>58</v>
      </c>
      <c r="G89" s="14">
        <f t="shared" si="14"/>
        <v>0</v>
      </c>
      <c r="H89" s="14">
        <f t="shared" si="15"/>
        <v>0</v>
      </c>
      <c r="I89" s="41">
        <v>0</v>
      </c>
      <c r="J89" s="41">
        <v>0</v>
      </c>
      <c r="K89" s="41">
        <v>0</v>
      </c>
      <c r="L89" s="39">
        <v>0</v>
      </c>
      <c r="M89" s="13">
        <f t="shared" si="16"/>
        <v>0</v>
      </c>
      <c r="N89" s="13">
        <f t="shared" si="17"/>
        <v>0</v>
      </c>
      <c r="O89" s="13">
        <f t="shared" si="18"/>
        <v>0</v>
      </c>
      <c r="P89" s="13">
        <f t="shared" si="19"/>
        <v>0</v>
      </c>
      <c r="Q89" s="13">
        <f t="shared" si="20"/>
        <v>0</v>
      </c>
      <c r="R89" s="2"/>
    </row>
    <row r="90" spans="2:18">
      <c r="B90" s="2"/>
      <c r="C90" s="38" t="s">
        <v>131</v>
      </c>
      <c r="D90" s="33"/>
      <c r="E90" s="40" t="s">
        <v>58</v>
      </c>
      <c r="F90" s="40" t="s">
        <v>58</v>
      </c>
      <c r="G90" s="14">
        <f t="shared" si="14"/>
        <v>0</v>
      </c>
      <c r="H90" s="14">
        <f t="shared" si="15"/>
        <v>0</v>
      </c>
      <c r="I90" s="41">
        <v>0</v>
      </c>
      <c r="J90" s="41">
        <v>0</v>
      </c>
      <c r="K90" s="41">
        <v>0</v>
      </c>
      <c r="L90" s="39">
        <v>0</v>
      </c>
      <c r="M90" s="13">
        <f t="shared" si="16"/>
        <v>0</v>
      </c>
      <c r="N90" s="13">
        <f t="shared" si="17"/>
        <v>0</v>
      </c>
      <c r="O90" s="13">
        <f t="shared" si="18"/>
        <v>0</v>
      </c>
      <c r="P90" s="13">
        <f t="shared" si="19"/>
        <v>0</v>
      </c>
      <c r="Q90" s="13">
        <f t="shared" si="20"/>
        <v>0</v>
      </c>
      <c r="R90" s="2"/>
    </row>
    <row r="91" spans="2:18">
      <c r="B91" s="2"/>
      <c r="C91" s="38" t="s">
        <v>132</v>
      </c>
      <c r="D91" s="33"/>
      <c r="E91" s="40" t="s">
        <v>58</v>
      </c>
      <c r="F91" s="40" t="s">
        <v>58</v>
      </c>
      <c r="G91" s="14">
        <f t="shared" si="14"/>
        <v>0</v>
      </c>
      <c r="H91" s="14">
        <f t="shared" si="15"/>
        <v>0</v>
      </c>
      <c r="I91" s="41">
        <v>0</v>
      </c>
      <c r="J91" s="41">
        <v>0</v>
      </c>
      <c r="K91" s="41">
        <v>0</v>
      </c>
      <c r="L91" s="39">
        <v>0</v>
      </c>
      <c r="M91" s="13">
        <f t="shared" si="16"/>
        <v>0</v>
      </c>
      <c r="N91" s="13">
        <f t="shared" si="17"/>
        <v>0</v>
      </c>
      <c r="O91" s="13">
        <f t="shared" si="18"/>
        <v>0</v>
      </c>
      <c r="P91" s="13">
        <f t="shared" si="19"/>
        <v>0</v>
      </c>
      <c r="Q91" s="13">
        <f t="shared" si="20"/>
        <v>0</v>
      </c>
      <c r="R91" s="2"/>
    </row>
    <row r="92" spans="2:18">
      <c r="B92" s="2"/>
      <c r="C92" s="38" t="s">
        <v>133</v>
      </c>
      <c r="D92" s="33"/>
      <c r="E92" s="40" t="s">
        <v>58</v>
      </c>
      <c r="F92" s="40" t="s">
        <v>58</v>
      </c>
      <c r="G92" s="14">
        <f t="shared" si="14"/>
        <v>0</v>
      </c>
      <c r="H92" s="14">
        <f t="shared" si="15"/>
        <v>0</v>
      </c>
      <c r="I92" s="41">
        <v>0</v>
      </c>
      <c r="J92" s="41">
        <v>0</v>
      </c>
      <c r="K92" s="41">
        <v>0</v>
      </c>
      <c r="L92" s="39">
        <v>0</v>
      </c>
      <c r="M92" s="13">
        <f t="shared" si="16"/>
        <v>0</v>
      </c>
      <c r="N92" s="13">
        <f t="shared" si="17"/>
        <v>0</v>
      </c>
      <c r="O92" s="13">
        <f t="shared" si="18"/>
        <v>0</v>
      </c>
      <c r="P92" s="13">
        <f t="shared" si="19"/>
        <v>0</v>
      </c>
      <c r="Q92" s="13">
        <f t="shared" si="20"/>
        <v>0</v>
      </c>
      <c r="R92" s="2"/>
    </row>
    <row r="93" spans="2:18">
      <c r="B93" s="2"/>
      <c r="C93" s="38" t="s">
        <v>134</v>
      </c>
      <c r="D93" s="33"/>
      <c r="E93" s="40" t="s">
        <v>58</v>
      </c>
      <c r="F93" s="40" t="s">
        <v>58</v>
      </c>
      <c r="G93" s="14">
        <f t="shared" si="14"/>
        <v>0</v>
      </c>
      <c r="H93" s="14">
        <f t="shared" si="15"/>
        <v>0</v>
      </c>
      <c r="I93" s="41">
        <v>0</v>
      </c>
      <c r="J93" s="41">
        <v>0</v>
      </c>
      <c r="K93" s="41">
        <v>0</v>
      </c>
      <c r="L93" s="39">
        <v>0</v>
      </c>
      <c r="M93" s="13">
        <f t="shared" si="16"/>
        <v>0</v>
      </c>
      <c r="N93" s="13">
        <f t="shared" si="17"/>
        <v>0</v>
      </c>
      <c r="O93" s="13">
        <f t="shared" si="18"/>
        <v>0</v>
      </c>
      <c r="P93" s="13">
        <f t="shared" si="19"/>
        <v>0</v>
      </c>
      <c r="Q93" s="13">
        <f t="shared" si="20"/>
        <v>0</v>
      </c>
      <c r="R93" s="2"/>
    </row>
    <row r="94" spans="2:18">
      <c r="B94" s="2"/>
      <c r="C94" s="38" t="s">
        <v>135</v>
      </c>
      <c r="D94" s="33"/>
      <c r="E94" s="40" t="s">
        <v>58</v>
      </c>
      <c r="F94" s="40" t="s">
        <v>58</v>
      </c>
      <c r="G94" s="14">
        <f t="shared" si="14"/>
        <v>0</v>
      </c>
      <c r="H94" s="14">
        <f t="shared" si="15"/>
        <v>0</v>
      </c>
      <c r="I94" s="41">
        <v>0</v>
      </c>
      <c r="J94" s="41">
        <v>0</v>
      </c>
      <c r="K94" s="41">
        <v>0</v>
      </c>
      <c r="L94" s="39">
        <v>0</v>
      </c>
      <c r="M94" s="13">
        <f t="shared" si="16"/>
        <v>0</v>
      </c>
      <c r="N94" s="13">
        <f t="shared" si="17"/>
        <v>0</v>
      </c>
      <c r="O94" s="13">
        <f t="shared" si="18"/>
        <v>0</v>
      </c>
      <c r="P94" s="13">
        <f t="shared" si="19"/>
        <v>0</v>
      </c>
      <c r="Q94" s="13">
        <f t="shared" si="20"/>
        <v>0</v>
      </c>
      <c r="R94" s="2"/>
    </row>
    <row r="95" spans="2:18">
      <c r="B95" s="2"/>
      <c r="C95" s="38" t="s">
        <v>136</v>
      </c>
      <c r="D95" s="33"/>
      <c r="E95" s="40" t="s">
        <v>58</v>
      </c>
      <c r="F95" s="40" t="s">
        <v>58</v>
      </c>
      <c r="G95" s="14">
        <f t="shared" si="14"/>
        <v>0</v>
      </c>
      <c r="H95" s="14">
        <f t="shared" si="15"/>
        <v>0</v>
      </c>
      <c r="I95" s="41">
        <v>0</v>
      </c>
      <c r="J95" s="41">
        <v>0</v>
      </c>
      <c r="K95" s="41">
        <v>0</v>
      </c>
      <c r="L95" s="39">
        <v>0</v>
      </c>
      <c r="M95" s="13">
        <f t="shared" si="16"/>
        <v>0</v>
      </c>
      <c r="N95" s="13">
        <f t="shared" si="17"/>
        <v>0</v>
      </c>
      <c r="O95" s="13">
        <f t="shared" si="18"/>
        <v>0</v>
      </c>
      <c r="P95" s="13">
        <f t="shared" si="19"/>
        <v>0</v>
      </c>
      <c r="Q95" s="13">
        <f t="shared" si="20"/>
        <v>0</v>
      </c>
      <c r="R95" s="2"/>
    </row>
    <row r="96" spans="2:18">
      <c r="B96" s="2"/>
      <c r="C96" s="38" t="s">
        <v>137</v>
      </c>
      <c r="D96" s="33"/>
      <c r="E96" s="40" t="s">
        <v>58</v>
      </c>
      <c r="F96" s="40" t="s">
        <v>58</v>
      </c>
      <c r="G96" s="14">
        <f t="shared" si="14"/>
        <v>0</v>
      </c>
      <c r="H96" s="14">
        <f t="shared" si="15"/>
        <v>0</v>
      </c>
      <c r="I96" s="41">
        <v>0</v>
      </c>
      <c r="J96" s="41">
        <v>0</v>
      </c>
      <c r="K96" s="41">
        <v>0</v>
      </c>
      <c r="L96" s="39">
        <v>0</v>
      </c>
      <c r="M96" s="13">
        <f t="shared" si="16"/>
        <v>0</v>
      </c>
      <c r="N96" s="13">
        <f t="shared" si="17"/>
        <v>0</v>
      </c>
      <c r="O96" s="13">
        <f t="shared" si="18"/>
        <v>0</v>
      </c>
      <c r="P96" s="13">
        <f t="shared" si="19"/>
        <v>0</v>
      </c>
      <c r="Q96" s="13">
        <f t="shared" si="20"/>
        <v>0</v>
      </c>
      <c r="R96" s="2"/>
    </row>
    <row r="97" spans="2:18">
      <c r="B97" s="2"/>
      <c r="C97" s="38" t="s">
        <v>138</v>
      </c>
      <c r="D97" s="33"/>
      <c r="E97" s="40" t="s">
        <v>58</v>
      </c>
      <c r="F97" s="40" t="s">
        <v>58</v>
      </c>
      <c r="G97" s="14">
        <f t="shared" si="14"/>
        <v>0</v>
      </c>
      <c r="H97" s="14">
        <f t="shared" si="15"/>
        <v>0</v>
      </c>
      <c r="I97" s="41">
        <v>0</v>
      </c>
      <c r="J97" s="41">
        <v>0</v>
      </c>
      <c r="K97" s="41">
        <v>0</v>
      </c>
      <c r="L97" s="39">
        <v>0</v>
      </c>
      <c r="M97" s="13">
        <f t="shared" si="16"/>
        <v>0</v>
      </c>
      <c r="N97" s="13">
        <f t="shared" si="17"/>
        <v>0</v>
      </c>
      <c r="O97" s="13">
        <f t="shared" si="18"/>
        <v>0</v>
      </c>
      <c r="P97" s="13">
        <f t="shared" si="19"/>
        <v>0</v>
      </c>
      <c r="Q97" s="13">
        <f t="shared" si="20"/>
        <v>0</v>
      </c>
      <c r="R97" s="2"/>
    </row>
    <row r="98" spans="2:18">
      <c r="B98" s="2"/>
      <c r="C98" s="38" t="s">
        <v>139</v>
      </c>
      <c r="D98" s="33"/>
      <c r="E98" s="40" t="s">
        <v>58</v>
      </c>
      <c r="F98" s="40" t="s">
        <v>58</v>
      </c>
      <c r="G98" s="14">
        <f t="shared" si="14"/>
        <v>0</v>
      </c>
      <c r="H98" s="14">
        <f t="shared" si="15"/>
        <v>0</v>
      </c>
      <c r="I98" s="41">
        <v>0</v>
      </c>
      <c r="J98" s="41">
        <v>0</v>
      </c>
      <c r="K98" s="41">
        <v>0</v>
      </c>
      <c r="L98" s="39">
        <v>0</v>
      </c>
      <c r="M98" s="13">
        <f t="shared" si="16"/>
        <v>0</v>
      </c>
      <c r="N98" s="13">
        <f t="shared" si="17"/>
        <v>0</v>
      </c>
      <c r="O98" s="13">
        <f t="shared" si="18"/>
        <v>0</v>
      </c>
      <c r="P98" s="13">
        <f t="shared" si="19"/>
        <v>0</v>
      </c>
      <c r="Q98" s="13">
        <f t="shared" si="20"/>
        <v>0</v>
      </c>
      <c r="R98" s="2"/>
    </row>
    <row r="99" spans="2:18">
      <c r="B99" s="2"/>
      <c r="C99" s="38" t="s">
        <v>140</v>
      </c>
      <c r="D99" s="33"/>
      <c r="E99" s="40" t="s">
        <v>58</v>
      </c>
      <c r="F99" s="40" t="s">
        <v>58</v>
      </c>
      <c r="G99" s="14">
        <f t="shared" si="14"/>
        <v>0</v>
      </c>
      <c r="H99" s="14">
        <f t="shared" si="15"/>
        <v>0</v>
      </c>
      <c r="I99" s="41">
        <v>0</v>
      </c>
      <c r="J99" s="41">
        <v>0</v>
      </c>
      <c r="K99" s="41">
        <v>0</v>
      </c>
      <c r="L99" s="39">
        <v>0</v>
      </c>
      <c r="M99" s="13">
        <f t="shared" si="16"/>
        <v>0</v>
      </c>
      <c r="N99" s="13">
        <f t="shared" si="17"/>
        <v>0</v>
      </c>
      <c r="O99" s="13">
        <f t="shared" si="18"/>
        <v>0</v>
      </c>
      <c r="P99" s="13">
        <f t="shared" si="19"/>
        <v>0</v>
      </c>
      <c r="Q99" s="13">
        <f t="shared" si="20"/>
        <v>0</v>
      </c>
      <c r="R99" s="2"/>
    </row>
    <row r="100" spans="2:18">
      <c r="B100" s="2"/>
      <c r="C100" s="38" t="s">
        <v>141</v>
      </c>
      <c r="D100" s="33"/>
      <c r="E100" s="40" t="s">
        <v>58</v>
      </c>
      <c r="F100" s="40" t="s">
        <v>58</v>
      </c>
      <c r="G100" s="14">
        <f t="shared" si="14"/>
        <v>0</v>
      </c>
      <c r="H100" s="14">
        <f t="shared" si="15"/>
        <v>0</v>
      </c>
      <c r="I100" s="41">
        <v>0</v>
      </c>
      <c r="J100" s="41">
        <v>0</v>
      </c>
      <c r="K100" s="41">
        <v>0</v>
      </c>
      <c r="L100" s="39">
        <v>0</v>
      </c>
      <c r="M100" s="13">
        <f t="shared" si="16"/>
        <v>0</v>
      </c>
      <c r="N100" s="13">
        <f t="shared" si="17"/>
        <v>0</v>
      </c>
      <c r="O100" s="13">
        <f t="shared" si="18"/>
        <v>0</v>
      </c>
      <c r="P100" s="13">
        <f t="shared" si="19"/>
        <v>0</v>
      </c>
      <c r="Q100" s="13">
        <f t="shared" si="20"/>
        <v>0</v>
      </c>
      <c r="R100" s="2"/>
    </row>
    <row r="101" spans="2:18">
      <c r="B101" s="2"/>
      <c r="C101" s="38" t="s">
        <v>142</v>
      </c>
      <c r="D101" s="33"/>
      <c r="E101" s="40" t="s">
        <v>58</v>
      </c>
      <c r="F101" s="40" t="s">
        <v>58</v>
      </c>
      <c r="G101" s="14">
        <f t="shared" si="14"/>
        <v>0</v>
      </c>
      <c r="H101" s="14">
        <f t="shared" si="15"/>
        <v>0</v>
      </c>
      <c r="I101" s="41">
        <v>0</v>
      </c>
      <c r="J101" s="41">
        <v>0</v>
      </c>
      <c r="K101" s="41">
        <v>0</v>
      </c>
      <c r="L101" s="39">
        <v>0</v>
      </c>
      <c r="M101" s="13">
        <f t="shared" si="16"/>
        <v>0</v>
      </c>
      <c r="N101" s="13">
        <f t="shared" si="17"/>
        <v>0</v>
      </c>
      <c r="O101" s="13">
        <f t="shared" si="18"/>
        <v>0</v>
      </c>
      <c r="P101" s="13">
        <f t="shared" si="19"/>
        <v>0</v>
      </c>
      <c r="Q101" s="13">
        <f t="shared" si="20"/>
        <v>0</v>
      </c>
      <c r="R101" s="2"/>
    </row>
    <row r="102" spans="2:18">
      <c r="B102" s="2"/>
      <c r="C102" s="38" t="s">
        <v>143</v>
      </c>
      <c r="D102" s="33"/>
      <c r="E102" s="40" t="s">
        <v>58</v>
      </c>
      <c r="F102" s="40" t="s">
        <v>58</v>
      </c>
      <c r="G102" s="14">
        <f t="shared" si="14"/>
        <v>0</v>
      </c>
      <c r="H102" s="14">
        <f t="shared" si="15"/>
        <v>0</v>
      </c>
      <c r="I102" s="41">
        <v>0</v>
      </c>
      <c r="J102" s="41">
        <v>0</v>
      </c>
      <c r="K102" s="41">
        <v>0</v>
      </c>
      <c r="L102" s="39">
        <v>0</v>
      </c>
      <c r="M102" s="13">
        <f t="shared" si="16"/>
        <v>0</v>
      </c>
      <c r="N102" s="13">
        <f t="shared" si="17"/>
        <v>0</v>
      </c>
      <c r="O102" s="13">
        <f t="shared" si="18"/>
        <v>0</v>
      </c>
      <c r="P102" s="13">
        <f t="shared" si="19"/>
        <v>0</v>
      </c>
      <c r="Q102" s="13">
        <f t="shared" si="20"/>
        <v>0</v>
      </c>
      <c r="R102" s="2"/>
    </row>
    <row r="103" spans="2:18">
      <c r="B103" s="2"/>
      <c r="C103" s="38" t="s">
        <v>144</v>
      </c>
      <c r="D103" s="33"/>
      <c r="E103" s="40" t="s">
        <v>58</v>
      </c>
      <c r="F103" s="40" t="s">
        <v>58</v>
      </c>
      <c r="G103" s="14">
        <f t="shared" si="14"/>
        <v>0</v>
      </c>
      <c r="H103" s="14">
        <f t="shared" si="15"/>
        <v>0</v>
      </c>
      <c r="I103" s="41">
        <v>0</v>
      </c>
      <c r="J103" s="41">
        <v>0</v>
      </c>
      <c r="K103" s="41">
        <v>0</v>
      </c>
      <c r="L103" s="39">
        <v>0</v>
      </c>
      <c r="M103" s="13">
        <f t="shared" si="16"/>
        <v>0</v>
      </c>
      <c r="N103" s="13">
        <f t="shared" si="17"/>
        <v>0</v>
      </c>
      <c r="O103" s="13">
        <f t="shared" si="18"/>
        <v>0</v>
      </c>
      <c r="P103" s="13">
        <f t="shared" si="19"/>
        <v>0</v>
      </c>
      <c r="Q103" s="13">
        <f t="shared" si="20"/>
        <v>0</v>
      </c>
      <c r="R103" s="2"/>
    </row>
    <row r="104" spans="2:18">
      <c r="B104" s="2"/>
      <c r="C104" s="38" t="s">
        <v>145</v>
      </c>
      <c r="D104" s="33"/>
      <c r="E104" s="40" t="s">
        <v>58</v>
      </c>
      <c r="F104" s="40" t="s">
        <v>58</v>
      </c>
      <c r="G104" s="14">
        <f t="shared" si="14"/>
        <v>0</v>
      </c>
      <c r="H104" s="14">
        <f t="shared" si="15"/>
        <v>0</v>
      </c>
      <c r="I104" s="41">
        <v>0</v>
      </c>
      <c r="J104" s="41">
        <v>0</v>
      </c>
      <c r="K104" s="41">
        <v>0</v>
      </c>
      <c r="L104" s="39">
        <v>0</v>
      </c>
      <c r="M104" s="13">
        <f t="shared" si="16"/>
        <v>0</v>
      </c>
      <c r="N104" s="13">
        <f t="shared" si="17"/>
        <v>0</v>
      </c>
      <c r="O104" s="13">
        <f t="shared" si="18"/>
        <v>0</v>
      </c>
      <c r="P104" s="13">
        <f t="shared" si="19"/>
        <v>0</v>
      </c>
      <c r="Q104" s="13">
        <f t="shared" si="20"/>
        <v>0</v>
      </c>
      <c r="R104" s="2"/>
    </row>
    <row r="105" spans="2:18">
      <c r="B105" s="2"/>
      <c r="C105" s="38" t="s">
        <v>146</v>
      </c>
      <c r="D105" s="33"/>
      <c r="E105" s="40" t="s">
        <v>58</v>
      </c>
      <c r="F105" s="40" t="s">
        <v>58</v>
      </c>
      <c r="G105" s="14">
        <f t="shared" si="14"/>
        <v>0</v>
      </c>
      <c r="H105" s="14">
        <f t="shared" si="15"/>
        <v>0</v>
      </c>
      <c r="I105" s="41">
        <v>0</v>
      </c>
      <c r="J105" s="41">
        <v>0</v>
      </c>
      <c r="K105" s="41">
        <v>0</v>
      </c>
      <c r="L105" s="39">
        <v>0</v>
      </c>
      <c r="M105" s="13">
        <f t="shared" si="16"/>
        <v>0</v>
      </c>
      <c r="N105" s="13">
        <f t="shared" si="17"/>
        <v>0</v>
      </c>
      <c r="O105" s="13">
        <f t="shared" si="18"/>
        <v>0</v>
      </c>
      <c r="P105" s="13">
        <f t="shared" si="19"/>
        <v>0</v>
      </c>
      <c r="Q105" s="13">
        <f t="shared" si="20"/>
        <v>0</v>
      </c>
      <c r="R105" s="2"/>
    </row>
    <row r="106" spans="2:18">
      <c r="B106" s="2"/>
      <c r="C106" s="38" t="s">
        <v>147</v>
      </c>
      <c r="D106" s="33"/>
      <c r="E106" s="40" t="s">
        <v>58</v>
      </c>
      <c r="F106" s="40" t="s">
        <v>58</v>
      </c>
      <c r="G106" s="14">
        <f t="shared" si="14"/>
        <v>0</v>
      </c>
      <c r="H106" s="14">
        <f t="shared" si="15"/>
        <v>0</v>
      </c>
      <c r="I106" s="41">
        <v>0</v>
      </c>
      <c r="J106" s="41">
        <v>0</v>
      </c>
      <c r="K106" s="41">
        <v>0</v>
      </c>
      <c r="L106" s="39">
        <v>0</v>
      </c>
      <c r="M106" s="13">
        <f t="shared" si="16"/>
        <v>0</v>
      </c>
      <c r="N106" s="13">
        <f t="shared" si="17"/>
        <v>0</v>
      </c>
      <c r="O106" s="13">
        <f t="shared" si="18"/>
        <v>0</v>
      </c>
      <c r="P106" s="13">
        <f t="shared" si="19"/>
        <v>0</v>
      </c>
      <c r="Q106" s="13">
        <f t="shared" si="20"/>
        <v>0</v>
      </c>
      <c r="R106" s="2"/>
    </row>
    <row r="107" spans="2:18">
      <c r="B107" s="2"/>
      <c r="C107" s="38" t="s">
        <v>148</v>
      </c>
      <c r="D107" s="33"/>
      <c r="E107" s="40" t="s">
        <v>58</v>
      </c>
      <c r="F107" s="40" t="s">
        <v>58</v>
      </c>
      <c r="G107" s="14">
        <f t="shared" si="14"/>
        <v>0</v>
      </c>
      <c r="H107" s="14">
        <f t="shared" si="15"/>
        <v>0</v>
      </c>
      <c r="I107" s="41">
        <v>0</v>
      </c>
      <c r="J107" s="41">
        <v>0</v>
      </c>
      <c r="K107" s="41">
        <v>0</v>
      </c>
      <c r="L107" s="39">
        <v>0</v>
      </c>
      <c r="M107" s="13">
        <f t="shared" si="16"/>
        <v>0</v>
      </c>
      <c r="N107" s="13">
        <f t="shared" si="17"/>
        <v>0</v>
      </c>
      <c r="O107" s="13">
        <f t="shared" si="18"/>
        <v>0</v>
      </c>
      <c r="P107" s="13">
        <f t="shared" si="19"/>
        <v>0</v>
      </c>
      <c r="Q107" s="13">
        <f t="shared" si="20"/>
        <v>0</v>
      </c>
      <c r="R107" s="2"/>
    </row>
    <row r="108" spans="2:18">
      <c r="B108" s="2"/>
      <c r="C108" s="38" t="s">
        <v>149</v>
      </c>
      <c r="D108" s="33"/>
      <c r="E108" s="40" t="s">
        <v>58</v>
      </c>
      <c r="F108" s="40" t="s">
        <v>58</v>
      </c>
      <c r="G108" s="14">
        <f t="shared" si="14"/>
        <v>0</v>
      </c>
      <c r="H108" s="14">
        <f t="shared" si="15"/>
        <v>0</v>
      </c>
      <c r="I108" s="41">
        <v>0</v>
      </c>
      <c r="J108" s="41">
        <v>0</v>
      </c>
      <c r="K108" s="41">
        <v>0</v>
      </c>
      <c r="L108" s="39">
        <v>0</v>
      </c>
      <c r="M108" s="13">
        <f t="shared" si="16"/>
        <v>0</v>
      </c>
      <c r="N108" s="13">
        <f t="shared" si="17"/>
        <v>0</v>
      </c>
      <c r="O108" s="13">
        <f t="shared" si="18"/>
        <v>0</v>
      </c>
      <c r="P108" s="13">
        <f t="shared" si="19"/>
        <v>0</v>
      </c>
      <c r="Q108" s="13">
        <f t="shared" si="20"/>
        <v>0</v>
      </c>
      <c r="R108" s="2"/>
    </row>
    <row r="109" spans="2:18">
      <c r="B109" s="2"/>
      <c r="C109" s="38" t="s">
        <v>150</v>
      </c>
      <c r="D109" s="33"/>
      <c r="E109" s="40" t="s">
        <v>58</v>
      </c>
      <c r="F109" s="40" t="s">
        <v>58</v>
      </c>
      <c r="G109" s="14">
        <f t="shared" si="14"/>
        <v>0</v>
      </c>
      <c r="H109" s="14">
        <f t="shared" si="15"/>
        <v>0</v>
      </c>
      <c r="I109" s="41">
        <v>0</v>
      </c>
      <c r="J109" s="41">
        <v>0</v>
      </c>
      <c r="K109" s="41">
        <v>0</v>
      </c>
      <c r="L109" s="39">
        <v>0</v>
      </c>
      <c r="M109" s="13">
        <f t="shared" si="16"/>
        <v>0</v>
      </c>
      <c r="N109" s="13">
        <f t="shared" si="17"/>
        <v>0</v>
      </c>
      <c r="O109" s="13">
        <f t="shared" si="18"/>
        <v>0</v>
      </c>
      <c r="P109" s="13">
        <f t="shared" si="19"/>
        <v>0</v>
      </c>
      <c r="Q109" s="13">
        <f t="shared" si="20"/>
        <v>0</v>
      </c>
      <c r="R109" s="2"/>
    </row>
    <row r="110" spans="2:18">
      <c r="B110" s="2"/>
      <c r="C110" s="38" t="s">
        <v>151</v>
      </c>
      <c r="D110" s="33"/>
      <c r="E110" s="40" t="s">
        <v>58</v>
      </c>
      <c r="F110" s="40" t="s">
        <v>58</v>
      </c>
      <c r="G110" s="14">
        <f t="shared" si="14"/>
        <v>0</v>
      </c>
      <c r="H110" s="14">
        <f t="shared" si="15"/>
        <v>0</v>
      </c>
      <c r="I110" s="41">
        <v>0</v>
      </c>
      <c r="J110" s="41">
        <v>0</v>
      </c>
      <c r="K110" s="41">
        <v>0</v>
      </c>
      <c r="L110" s="39">
        <v>0</v>
      </c>
      <c r="M110" s="13">
        <f t="shared" si="16"/>
        <v>0</v>
      </c>
      <c r="N110" s="13">
        <f t="shared" si="17"/>
        <v>0</v>
      </c>
      <c r="O110" s="13">
        <f t="shared" si="18"/>
        <v>0</v>
      </c>
      <c r="P110" s="13">
        <f t="shared" si="19"/>
        <v>0</v>
      </c>
      <c r="Q110" s="13">
        <f t="shared" si="20"/>
        <v>0</v>
      </c>
      <c r="R110" s="2"/>
    </row>
    <row r="111" spans="2:18">
      <c r="B111" s="2"/>
      <c r="C111" s="38" t="s">
        <v>152</v>
      </c>
      <c r="D111" s="33"/>
      <c r="E111" s="40" t="s">
        <v>58</v>
      </c>
      <c r="F111" s="40" t="s">
        <v>58</v>
      </c>
      <c r="G111" s="14">
        <f t="shared" si="14"/>
        <v>0</v>
      </c>
      <c r="H111" s="14">
        <f t="shared" si="15"/>
        <v>0</v>
      </c>
      <c r="I111" s="41">
        <v>0</v>
      </c>
      <c r="J111" s="41">
        <v>0</v>
      </c>
      <c r="K111" s="41">
        <v>0</v>
      </c>
      <c r="L111" s="39">
        <v>0</v>
      </c>
      <c r="M111" s="13">
        <f t="shared" si="16"/>
        <v>0</v>
      </c>
      <c r="N111" s="13">
        <f t="shared" si="17"/>
        <v>0</v>
      </c>
      <c r="O111" s="13">
        <f t="shared" si="18"/>
        <v>0</v>
      </c>
      <c r="P111" s="13">
        <f t="shared" si="19"/>
        <v>0</v>
      </c>
      <c r="Q111" s="13">
        <f t="shared" si="20"/>
        <v>0</v>
      </c>
      <c r="R111" s="2"/>
    </row>
    <row r="112" spans="2:18">
      <c r="B112" s="2"/>
      <c r="C112" s="38" t="s">
        <v>153</v>
      </c>
      <c r="D112" s="33"/>
      <c r="E112" s="40" t="s">
        <v>58</v>
      </c>
      <c r="F112" s="40" t="s">
        <v>58</v>
      </c>
      <c r="G112" s="14">
        <f t="shared" ref="G112:G143" si="21">H112+I112</f>
        <v>0</v>
      </c>
      <c r="H112" s="14">
        <f t="shared" si="15"/>
        <v>0</v>
      </c>
      <c r="I112" s="41">
        <v>0</v>
      </c>
      <c r="J112" s="41">
        <v>0</v>
      </c>
      <c r="K112" s="41">
        <v>0</v>
      </c>
      <c r="L112" s="39">
        <v>0</v>
      </c>
      <c r="M112" s="13">
        <f t="shared" ref="M112:M143" si="22">G112*L112</f>
        <v>0</v>
      </c>
      <c r="N112" s="13">
        <f t="shared" si="17"/>
        <v>0</v>
      </c>
      <c r="O112" s="13">
        <f t="shared" si="18"/>
        <v>0</v>
      </c>
      <c r="P112" s="13">
        <f t="shared" si="19"/>
        <v>0</v>
      </c>
      <c r="Q112" s="13">
        <f t="shared" si="20"/>
        <v>0</v>
      </c>
      <c r="R112" s="2"/>
    </row>
    <row r="113" spans="1:18">
      <c r="B113" s="2"/>
      <c r="C113" s="38" t="s">
        <v>154</v>
      </c>
      <c r="D113" s="33"/>
      <c r="E113" s="40" t="s">
        <v>58</v>
      </c>
      <c r="F113" s="40" t="s">
        <v>58</v>
      </c>
      <c r="G113" s="14">
        <f t="shared" si="21"/>
        <v>0</v>
      </c>
      <c r="H113" s="14">
        <f t="shared" si="15"/>
        <v>0</v>
      </c>
      <c r="I113" s="41">
        <v>0</v>
      </c>
      <c r="J113" s="41">
        <v>0</v>
      </c>
      <c r="K113" s="41">
        <v>0</v>
      </c>
      <c r="L113" s="39">
        <v>0</v>
      </c>
      <c r="M113" s="13">
        <f t="shared" si="22"/>
        <v>0</v>
      </c>
      <c r="N113" s="13">
        <f t="shared" si="17"/>
        <v>0</v>
      </c>
      <c r="O113" s="13">
        <f t="shared" si="18"/>
        <v>0</v>
      </c>
      <c r="P113" s="13">
        <f t="shared" si="19"/>
        <v>0</v>
      </c>
      <c r="Q113" s="13">
        <f t="shared" si="20"/>
        <v>0</v>
      </c>
      <c r="R113" s="2"/>
    </row>
    <row r="114" spans="1:18" s="16" customFormat="1">
      <c r="B114" s="5"/>
      <c r="C114" s="42" t="s">
        <v>155</v>
      </c>
      <c r="D114" s="43"/>
      <c r="E114" s="40" t="s">
        <v>58</v>
      </c>
      <c r="F114" s="40" t="s">
        <v>58</v>
      </c>
      <c r="G114" s="17">
        <f t="shared" si="21"/>
        <v>0</v>
      </c>
      <c r="H114" s="17">
        <f t="shared" si="15"/>
        <v>0</v>
      </c>
      <c r="I114" s="41">
        <v>0</v>
      </c>
      <c r="J114" s="41">
        <v>0</v>
      </c>
      <c r="K114" s="41">
        <v>0</v>
      </c>
      <c r="L114" s="39">
        <v>0</v>
      </c>
      <c r="M114" s="18">
        <f t="shared" si="22"/>
        <v>0</v>
      </c>
      <c r="N114" s="18">
        <f t="shared" si="17"/>
        <v>0</v>
      </c>
      <c r="O114" s="18">
        <f t="shared" si="18"/>
        <v>0</v>
      </c>
      <c r="P114" s="18">
        <f t="shared" si="19"/>
        <v>0</v>
      </c>
      <c r="Q114" s="18">
        <f t="shared" si="20"/>
        <v>0</v>
      </c>
      <c r="R114" s="5"/>
    </row>
    <row r="115" spans="1:18" s="16" customFormat="1">
      <c r="A115" s="19" t="s">
        <v>156</v>
      </c>
      <c r="B115" s="5"/>
      <c r="C115" s="42" t="s">
        <v>157</v>
      </c>
      <c r="D115" s="43"/>
      <c r="E115" s="40" t="s">
        <v>58</v>
      </c>
      <c r="F115" s="40" t="s">
        <v>58</v>
      </c>
      <c r="G115" s="17">
        <f t="shared" si="21"/>
        <v>0</v>
      </c>
      <c r="H115" s="17">
        <f t="shared" si="15"/>
        <v>0</v>
      </c>
      <c r="I115" s="41">
        <v>0</v>
      </c>
      <c r="J115" s="41">
        <v>0</v>
      </c>
      <c r="K115" s="41">
        <v>0</v>
      </c>
      <c r="L115" s="39">
        <v>0</v>
      </c>
      <c r="M115" s="18">
        <f t="shared" si="22"/>
        <v>0</v>
      </c>
      <c r="N115" s="18">
        <f t="shared" si="17"/>
        <v>0</v>
      </c>
      <c r="O115" s="18">
        <f t="shared" si="18"/>
        <v>0</v>
      </c>
      <c r="P115" s="18">
        <f t="shared" si="19"/>
        <v>0</v>
      </c>
      <c r="Q115" s="18">
        <f t="shared" si="20"/>
        <v>0</v>
      </c>
      <c r="R115" s="5"/>
    </row>
    <row r="116" spans="1:18">
      <c r="A116" s="20" t="s">
        <v>158</v>
      </c>
      <c r="B116" s="2"/>
      <c r="C116" s="38" t="s">
        <v>55</v>
      </c>
      <c r="D116" s="33"/>
      <c r="E116" s="15" t="str">
        <f>""</f>
        <v/>
      </c>
      <c r="F116" s="15" t="str">
        <f>""</f>
        <v/>
      </c>
      <c r="G116" s="14" t="str">
        <f>""</f>
        <v/>
      </c>
      <c r="H116" s="14" t="str">
        <f>""</f>
        <v/>
      </c>
      <c r="I116" s="14" t="str">
        <f>""</f>
        <v/>
      </c>
      <c r="J116" s="14" t="str">
        <f>""</f>
        <v/>
      </c>
      <c r="K116" s="14" t="str">
        <f>""</f>
        <v/>
      </c>
      <c r="L116" s="13">
        <f t="shared" ref="L116:Q116" si="23">SUM(L16:L115)</f>
        <v>0</v>
      </c>
      <c r="M116" s="13">
        <f t="shared" si="23"/>
        <v>0</v>
      </c>
      <c r="N116" s="13">
        <f t="shared" si="23"/>
        <v>0</v>
      </c>
      <c r="O116" s="13">
        <f t="shared" si="23"/>
        <v>0</v>
      </c>
      <c r="P116" s="13">
        <f t="shared" si="23"/>
        <v>0</v>
      </c>
      <c r="Q116" s="13">
        <f t="shared" si="23"/>
        <v>0</v>
      </c>
      <c r="R116" s="2"/>
    </row>
    <row r="117" spans="1:18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5.0999999999999996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</sheetData>
  <sheetProtection algorithmName="SHA-512" hashValue="lGQXJKOAX8jkJwgBRxvatODqbXZC2wsAYKRqZQIsF31M5z73XTWw3RBcZ4RMpw3et4cFKkJcj2buCrkG8szL1w==" saltValue="WsAlPIbhTu6TlUeYTe0v4A==" spinCount="100000" sheet="1" formatColumns="0" formatRows="0" insertRows="0" deleteRows="0" selectLockedCells="1"/>
  <mergeCells count="721">
    <mergeCell ref="C116:D116"/>
    <mergeCell ref="K114"/>
    <mergeCell ref="L114"/>
    <mergeCell ref="C115:D115"/>
    <mergeCell ref="E115"/>
    <mergeCell ref="F115"/>
    <mergeCell ref="I115"/>
    <mergeCell ref="J115"/>
    <mergeCell ref="K115"/>
    <mergeCell ref="L115"/>
    <mergeCell ref="C114:D114"/>
    <mergeCell ref="E114"/>
    <mergeCell ref="F114"/>
    <mergeCell ref="I114"/>
    <mergeCell ref="J114"/>
    <mergeCell ref="K112"/>
    <mergeCell ref="L112"/>
    <mergeCell ref="C113:D113"/>
    <mergeCell ref="E113"/>
    <mergeCell ref="F113"/>
    <mergeCell ref="I113"/>
    <mergeCell ref="J113"/>
    <mergeCell ref="K113"/>
    <mergeCell ref="L113"/>
    <mergeCell ref="C112:D112"/>
    <mergeCell ref="E112"/>
    <mergeCell ref="F112"/>
    <mergeCell ref="I112"/>
    <mergeCell ref="J112"/>
    <mergeCell ref="K110"/>
    <mergeCell ref="L110"/>
    <mergeCell ref="C111:D111"/>
    <mergeCell ref="E111"/>
    <mergeCell ref="F111"/>
    <mergeCell ref="I111"/>
    <mergeCell ref="J111"/>
    <mergeCell ref="K111"/>
    <mergeCell ref="L111"/>
    <mergeCell ref="C110:D110"/>
    <mergeCell ref="E110"/>
    <mergeCell ref="F110"/>
    <mergeCell ref="I110"/>
    <mergeCell ref="J110"/>
    <mergeCell ref="K108"/>
    <mergeCell ref="L108"/>
    <mergeCell ref="C109:D109"/>
    <mergeCell ref="E109"/>
    <mergeCell ref="F109"/>
    <mergeCell ref="I109"/>
    <mergeCell ref="J109"/>
    <mergeCell ref="K109"/>
    <mergeCell ref="L109"/>
    <mergeCell ref="C108:D108"/>
    <mergeCell ref="E108"/>
    <mergeCell ref="F108"/>
    <mergeCell ref="I108"/>
    <mergeCell ref="J108"/>
    <mergeCell ref="K106"/>
    <mergeCell ref="L106"/>
    <mergeCell ref="C107:D107"/>
    <mergeCell ref="E107"/>
    <mergeCell ref="F107"/>
    <mergeCell ref="I107"/>
    <mergeCell ref="J107"/>
    <mergeCell ref="K107"/>
    <mergeCell ref="L107"/>
    <mergeCell ref="C106:D106"/>
    <mergeCell ref="E106"/>
    <mergeCell ref="F106"/>
    <mergeCell ref="I106"/>
    <mergeCell ref="J106"/>
    <mergeCell ref="K104"/>
    <mergeCell ref="L104"/>
    <mergeCell ref="C105:D105"/>
    <mergeCell ref="E105"/>
    <mergeCell ref="F105"/>
    <mergeCell ref="I105"/>
    <mergeCell ref="J105"/>
    <mergeCell ref="K105"/>
    <mergeCell ref="L105"/>
    <mergeCell ref="C104:D104"/>
    <mergeCell ref="E104"/>
    <mergeCell ref="F104"/>
    <mergeCell ref="I104"/>
    <mergeCell ref="J104"/>
    <mergeCell ref="K102"/>
    <mergeCell ref="L102"/>
    <mergeCell ref="C103:D103"/>
    <mergeCell ref="E103"/>
    <mergeCell ref="F103"/>
    <mergeCell ref="I103"/>
    <mergeCell ref="J103"/>
    <mergeCell ref="K103"/>
    <mergeCell ref="L103"/>
    <mergeCell ref="C102:D102"/>
    <mergeCell ref="E102"/>
    <mergeCell ref="F102"/>
    <mergeCell ref="I102"/>
    <mergeCell ref="J102"/>
    <mergeCell ref="K100"/>
    <mergeCell ref="L100"/>
    <mergeCell ref="C101:D101"/>
    <mergeCell ref="E101"/>
    <mergeCell ref="F101"/>
    <mergeCell ref="I101"/>
    <mergeCell ref="J101"/>
    <mergeCell ref="K101"/>
    <mergeCell ref="L101"/>
    <mergeCell ref="C100:D100"/>
    <mergeCell ref="E100"/>
    <mergeCell ref="F100"/>
    <mergeCell ref="I100"/>
    <mergeCell ref="J100"/>
    <mergeCell ref="K98"/>
    <mergeCell ref="L98"/>
    <mergeCell ref="C99:D99"/>
    <mergeCell ref="E99"/>
    <mergeCell ref="F99"/>
    <mergeCell ref="I99"/>
    <mergeCell ref="J99"/>
    <mergeCell ref="K99"/>
    <mergeCell ref="L99"/>
    <mergeCell ref="C98:D98"/>
    <mergeCell ref="E98"/>
    <mergeCell ref="F98"/>
    <mergeCell ref="I98"/>
    <mergeCell ref="J98"/>
    <mergeCell ref="K96"/>
    <mergeCell ref="L96"/>
    <mergeCell ref="C97:D97"/>
    <mergeCell ref="E97"/>
    <mergeCell ref="F97"/>
    <mergeCell ref="I97"/>
    <mergeCell ref="J97"/>
    <mergeCell ref="K97"/>
    <mergeCell ref="L97"/>
    <mergeCell ref="C96:D96"/>
    <mergeCell ref="E96"/>
    <mergeCell ref="F96"/>
    <mergeCell ref="I96"/>
    <mergeCell ref="J96"/>
    <mergeCell ref="K94"/>
    <mergeCell ref="L94"/>
    <mergeCell ref="C95:D95"/>
    <mergeCell ref="E95"/>
    <mergeCell ref="F95"/>
    <mergeCell ref="I95"/>
    <mergeCell ref="J95"/>
    <mergeCell ref="K95"/>
    <mergeCell ref="L95"/>
    <mergeCell ref="C94:D94"/>
    <mergeCell ref="E94"/>
    <mergeCell ref="F94"/>
    <mergeCell ref="I94"/>
    <mergeCell ref="J94"/>
    <mergeCell ref="K92"/>
    <mergeCell ref="L92"/>
    <mergeCell ref="C93:D93"/>
    <mergeCell ref="E93"/>
    <mergeCell ref="F93"/>
    <mergeCell ref="I93"/>
    <mergeCell ref="J93"/>
    <mergeCell ref="K93"/>
    <mergeCell ref="L93"/>
    <mergeCell ref="C92:D92"/>
    <mergeCell ref="E92"/>
    <mergeCell ref="F92"/>
    <mergeCell ref="I92"/>
    <mergeCell ref="J92"/>
    <mergeCell ref="K90"/>
    <mergeCell ref="L90"/>
    <mergeCell ref="C91:D91"/>
    <mergeCell ref="E91"/>
    <mergeCell ref="F91"/>
    <mergeCell ref="I91"/>
    <mergeCell ref="J91"/>
    <mergeCell ref="K91"/>
    <mergeCell ref="L91"/>
    <mergeCell ref="C90:D90"/>
    <mergeCell ref="E90"/>
    <mergeCell ref="F90"/>
    <mergeCell ref="I90"/>
    <mergeCell ref="J90"/>
    <mergeCell ref="K88"/>
    <mergeCell ref="L88"/>
    <mergeCell ref="C89:D89"/>
    <mergeCell ref="E89"/>
    <mergeCell ref="F89"/>
    <mergeCell ref="I89"/>
    <mergeCell ref="J89"/>
    <mergeCell ref="K89"/>
    <mergeCell ref="L89"/>
    <mergeCell ref="C88:D88"/>
    <mergeCell ref="E88"/>
    <mergeCell ref="F88"/>
    <mergeCell ref="I88"/>
    <mergeCell ref="J88"/>
    <mergeCell ref="K86"/>
    <mergeCell ref="L86"/>
    <mergeCell ref="C87:D87"/>
    <mergeCell ref="E87"/>
    <mergeCell ref="F87"/>
    <mergeCell ref="I87"/>
    <mergeCell ref="J87"/>
    <mergeCell ref="K87"/>
    <mergeCell ref="L87"/>
    <mergeCell ref="C86:D86"/>
    <mergeCell ref="E86"/>
    <mergeCell ref="F86"/>
    <mergeCell ref="I86"/>
    <mergeCell ref="J86"/>
    <mergeCell ref="K84"/>
    <mergeCell ref="L84"/>
    <mergeCell ref="C85:D85"/>
    <mergeCell ref="E85"/>
    <mergeCell ref="F85"/>
    <mergeCell ref="I85"/>
    <mergeCell ref="J85"/>
    <mergeCell ref="K85"/>
    <mergeCell ref="L85"/>
    <mergeCell ref="C84:D84"/>
    <mergeCell ref="E84"/>
    <mergeCell ref="F84"/>
    <mergeCell ref="I84"/>
    <mergeCell ref="J84"/>
    <mergeCell ref="K82"/>
    <mergeCell ref="L82"/>
    <mergeCell ref="C83:D83"/>
    <mergeCell ref="E83"/>
    <mergeCell ref="F83"/>
    <mergeCell ref="I83"/>
    <mergeCell ref="J83"/>
    <mergeCell ref="K83"/>
    <mergeCell ref="L83"/>
    <mergeCell ref="C82:D82"/>
    <mergeCell ref="E82"/>
    <mergeCell ref="F82"/>
    <mergeCell ref="I82"/>
    <mergeCell ref="J82"/>
    <mergeCell ref="K80"/>
    <mergeCell ref="L80"/>
    <mergeCell ref="C81:D81"/>
    <mergeCell ref="E81"/>
    <mergeCell ref="F81"/>
    <mergeCell ref="I81"/>
    <mergeCell ref="J81"/>
    <mergeCell ref="K81"/>
    <mergeCell ref="L81"/>
    <mergeCell ref="C80:D80"/>
    <mergeCell ref="E80"/>
    <mergeCell ref="F80"/>
    <mergeCell ref="I80"/>
    <mergeCell ref="J80"/>
    <mergeCell ref="K78"/>
    <mergeCell ref="L78"/>
    <mergeCell ref="C79:D79"/>
    <mergeCell ref="E79"/>
    <mergeCell ref="F79"/>
    <mergeCell ref="I79"/>
    <mergeCell ref="J79"/>
    <mergeCell ref="K79"/>
    <mergeCell ref="L79"/>
    <mergeCell ref="C78:D78"/>
    <mergeCell ref="E78"/>
    <mergeCell ref="F78"/>
    <mergeCell ref="I78"/>
    <mergeCell ref="J78"/>
    <mergeCell ref="K76"/>
    <mergeCell ref="L76"/>
    <mergeCell ref="C77:D77"/>
    <mergeCell ref="E77"/>
    <mergeCell ref="F77"/>
    <mergeCell ref="I77"/>
    <mergeCell ref="J77"/>
    <mergeCell ref="K77"/>
    <mergeCell ref="L77"/>
    <mergeCell ref="C76:D76"/>
    <mergeCell ref="E76"/>
    <mergeCell ref="F76"/>
    <mergeCell ref="I76"/>
    <mergeCell ref="J76"/>
    <mergeCell ref="K74"/>
    <mergeCell ref="L74"/>
    <mergeCell ref="C75:D75"/>
    <mergeCell ref="E75"/>
    <mergeCell ref="F75"/>
    <mergeCell ref="I75"/>
    <mergeCell ref="J75"/>
    <mergeCell ref="K75"/>
    <mergeCell ref="L75"/>
    <mergeCell ref="C74:D74"/>
    <mergeCell ref="E74"/>
    <mergeCell ref="F74"/>
    <mergeCell ref="I74"/>
    <mergeCell ref="J74"/>
    <mergeCell ref="K72"/>
    <mergeCell ref="L72"/>
    <mergeCell ref="C73:D73"/>
    <mergeCell ref="E73"/>
    <mergeCell ref="F73"/>
    <mergeCell ref="I73"/>
    <mergeCell ref="J73"/>
    <mergeCell ref="K73"/>
    <mergeCell ref="L73"/>
    <mergeCell ref="C72:D72"/>
    <mergeCell ref="E72"/>
    <mergeCell ref="F72"/>
    <mergeCell ref="I72"/>
    <mergeCell ref="J72"/>
    <mergeCell ref="K70"/>
    <mergeCell ref="L70"/>
    <mergeCell ref="C71:D71"/>
    <mergeCell ref="E71"/>
    <mergeCell ref="F71"/>
    <mergeCell ref="I71"/>
    <mergeCell ref="J71"/>
    <mergeCell ref="K71"/>
    <mergeCell ref="L71"/>
    <mergeCell ref="C70:D70"/>
    <mergeCell ref="E70"/>
    <mergeCell ref="F70"/>
    <mergeCell ref="I70"/>
    <mergeCell ref="J70"/>
    <mergeCell ref="K68"/>
    <mergeCell ref="L68"/>
    <mergeCell ref="C69:D69"/>
    <mergeCell ref="E69"/>
    <mergeCell ref="F69"/>
    <mergeCell ref="I69"/>
    <mergeCell ref="J69"/>
    <mergeCell ref="K69"/>
    <mergeCell ref="L69"/>
    <mergeCell ref="C68:D68"/>
    <mergeCell ref="E68"/>
    <mergeCell ref="F68"/>
    <mergeCell ref="I68"/>
    <mergeCell ref="J68"/>
    <mergeCell ref="K66"/>
    <mergeCell ref="L66"/>
    <mergeCell ref="C67:D67"/>
    <mergeCell ref="E67"/>
    <mergeCell ref="F67"/>
    <mergeCell ref="I67"/>
    <mergeCell ref="J67"/>
    <mergeCell ref="K67"/>
    <mergeCell ref="L67"/>
    <mergeCell ref="C66:D66"/>
    <mergeCell ref="E66"/>
    <mergeCell ref="F66"/>
    <mergeCell ref="I66"/>
    <mergeCell ref="J66"/>
    <mergeCell ref="K64"/>
    <mergeCell ref="L64"/>
    <mergeCell ref="C65:D65"/>
    <mergeCell ref="E65"/>
    <mergeCell ref="F65"/>
    <mergeCell ref="I65"/>
    <mergeCell ref="J65"/>
    <mergeCell ref="K65"/>
    <mergeCell ref="L65"/>
    <mergeCell ref="C64:D64"/>
    <mergeCell ref="E64"/>
    <mergeCell ref="F64"/>
    <mergeCell ref="I64"/>
    <mergeCell ref="J64"/>
    <mergeCell ref="K62"/>
    <mergeCell ref="L62"/>
    <mergeCell ref="C63:D63"/>
    <mergeCell ref="E63"/>
    <mergeCell ref="F63"/>
    <mergeCell ref="I63"/>
    <mergeCell ref="J63"/>
    <mergeCell ref="K63"/>
    <mergeCell ref="L63"/>
    <mergeCell ref="C62:D62"/>
    <mergeCell ref="E62"/>
    <mergeCell ref="F62"/>
    <mergeCell ref="I62"/>
    <mergeCell ref="J62"/>
    <mergeCell ref="K60"/>
    <mergeCell ref="L60"/>
    <mergeCell ref="C61:D61"/>
    <mergeCell ref="E61"/>
    <mergeCell ref="F61"/>
    <mergeCell ref="I61"/>
    <mergeCell ref="J61"/>
    <mergeCell ref="K61"/>
    <mergeCell ref="L61"/>
    <mergeCell ref="C60:D60"/>
    <mergeCell ref="E60"/>
    <mergeCell ref="F60"/>
    <mergeCell ref="I60"/>
    <mergeCell ref="J60"/>
    <mergeCell ref="K58"/>
    <mergeCell ref="L58"/>
    <mergeCell ref="C59:D59"/>
    <mergeCell ref="E59"/>
    <mergeCell ref="F59"/>
    <mergeCell ref="I59"/>
    <mergeCell ref="J59"/>
    <mergeCell ref="K59"/>
    <mergeCell ref="L59"/>
    <mergeCell ref="C58:D58"/>
    <mergeCell ref="E58"/>
    <mergeCell ref="F58"/>
    <mergeCell ref="I58"/>
    <mergeCell ref="J58"/>
    <mergeCell ref="K56"/>
    <mergeCell ref="L56"/>
    <mergeCell ref="C57:D57"/>
    <mergeCell ref="E57"/>
    <mergeCell ref="F57"/>
    <mergeCell ref="I57"/>
    <mergeCell ref="J57"/>
    <mergeCell ref="K57"/>
    <mergeCell ref="L57"/>
    <mergeCell ref="C56:D56"/>
    <mergeCell ref="E56"/>
    <mergeCell ref="F56"/>
    <mergeCell ref="I56"/>
    <mergeCell ref="J56"/>
    <mergeCell ref="K54"/>
    <mergeCell ref="L54"/>
    <mergeCell ref="C55:D55"/>
    <mergeCell ref="E55"/>
    <mergeCell ref="F55"/>
    <mergeCell ref="I55"/>
    <mergeCell ref="J55"/>
    <mergeCell ref="K55"/>
    <mergeCell ref="L55"/>
    <mergeCell ref="C54:D54"/>
    <mergeCell ref="E54"/>
    <mergeCell ref="F54"/>
    <mergeCell ref="I54"/>
    <mergeCell ref="J54"/>
    <mergeCell ref="K52"/>
    <mergeCell ref="L52"/>
    <mergeCell ref="C53:D53"/>
    <mergeCell ref="E53"/>
    <mergeCell ref="F53"/>
    <mergeCell ref="I53"/>
    <mergeCell ref="J53"/>
    <mergeCell ref="K53"/>
    <mergeCell ref="L53"/>
    <mergeCell ref="C52:D52"/>
    <mergeCell ref="E52"/>
    <mergeCell ref="F52"/>
    <mergeCell ref="I52"/>
    <mergeCell ref="J52"/>
    <mergeCell ref="K50"/>
    <mergeCell ref="L50"/>
    <mergeCell ref="C51:D51"/>
    <mergeCell ref="E51"/>
    <mergeCell ref="F51"/>
    <mergeCell ref="I51"/>
    <mergeCell ref="J51"/>
    <mergeCell ref="K51"/>
    <mergeCell ref="L51"/>
    <mergeCell ref="C50:D50"/>
    <mergeCell ref="E50"/>
    <mergeCell ref="F50"/>
    <mergeCell ref="I50"/>
    <mergeCell ref="J50"/>
    <mergeCell ref="K48"/>
    <mergeCell ref="L48"/>
    <mergeCell ref="C49:D49"/>
    <mergeCell ref="E49"/>
    <mergeCell ref="F49"/>
    <mergeCell ref="I49"/>
    <mergeCell ref="J49"/>
    <mergeCell ref="K49"/>
    <mergeCell ref="L49"/>
    <mergeCell ref="C48:D48"/>
    <mergeCell ref="E48"/>
    <mergeCell ref="F48"/>
    <mergeCell ref="I48"/>
    <mergeCell ref="J48"/>
    <mergeCell ref="K46"/>
    <mergeCell ref="L46"/>
    <mergeCell ref="C47:D47"/>
    <mergeCell ref="E47"/>
    <mergeCell ref="F47"/>
    <mergeCell ref="I47"/>
    <mergeCell ref="J47"/>
    <mergeCell ref="K47"/>
    <mergeCell ref="L47"/>
    <mergeCell ref="C46:D46"/>
    <mergeCell ref="E46"/>
    <mergeCell ref="F46"/>
    <mergeCell ref="I46"/>
    <mergeCell ref="J46"/>
    <mergeCell ref="K44"/>
    <mergeCell ref="L44"/>
    <mergeCell ref="C45:D45"/>
    <mergeCell ref="E45"/>
    <mergeCell ref="F45"/>
    <mergeCell ref="I45"/>
    <mergeCell ref="J45"/>
    <mergeCell ref="K45"/>
    <mergeCell ref="L45"/>
    <mergeCell ref="C44:D44"/>
    <mergeCell ref="E44"/>
    <mergeCell ref="F44"/>
    <mergeCell ref="I44"/>
    <mergeCell ref="J44"/>
    <mergeCell ref="K42"/>
    <mergeCell ref="L42"/>
    <mergeCell ref="C43:D43"/>
    <mergeCell ref="E43"/>
    <mergeCell ref="F43"/>
    <mergeCell ref="I43"/>
    <mergeCell ref="J43"/>
    <mergeCell ref="K43"/>
    <mergeCell ref="L43"/>
    <mergeCell ref="C42:D42"/>
    <mergeCell ref="E42"/>
    <mergeCell ref="F42"/>
    <mergeCell ref="I42"/>
    <mergeCell ref="J42"/>
    <mergeCell ref="K40"/>
    <mergeCell ref="L40"/>
    <mergeCell ref="C41:D41"/>
    <mergeCell ref="E41"/>
    <mergeCell ref="F41"/>
    <mergeCell ref="I41"/>
    <mergeCell ref="J41"/>
    <mergeCell ref="K41"/>
    <mergeCell ref="L41"/>
    <mergeCell ref="C40:D40"/>
    <mergeCell ref="E40"/>
    <mergeCell ref="F40"/>
    <mergeCell ref="I40"/>
    <mergeCell ref="J40"/>
    <mergeCell ref="K38"/>
    <mergeCell ref="L38"/>
    <mergeCell ref="C39:D39"/>
    <mergeCell ref="E39"/>
    <mergeCell ref="F39"/>
    <mergeCell ref="I39"/>
    <mergeCell ref="J39"/>
    <mergeCell ref="K39"/>
    <mergeCell ref="L39"/>
    <mergeCell ref="C38:D38"/>
    <mergeCell ref="E38"/>
    <mergeCell ref="F38"/>
    <mergeCell ref="I38"/>
    <mergeCell ref="J38"/>
    <mergeCell ref="K36"/>
    <mergeCell ref="L36"/>
    <mergeCell ref="C37:D37"/>
    <mergeCell ref="E37"/>
    <mergeCell ref="F37"/>
    <mergeCell ref="I37"/>
    <mergeCell ref="J37"/>
    <mergeCell ref="K37"/>
    <mergeCell ref="L37"/>
    <mergeCell ref="C36:D36"/>
    <mergeCell ref="E36"/>
    <mergeCell ref="F36"/>
    <mergeCell ref="I36"/>
    <mergeCell ref="J36"/>
    <mergeCell ref="K34"/>
    <mergeCell ref="L34"/>
    <mergeCell ref="C35:D35"/>
    <mergeCell ref="E35"/>
    <mergeCell ref="F35"/>
    <mergeCell ref="I35"/>
    <mergeCell ref="J35"/>
    <mergeCell ref="K35"/>
    <mergeCell ref="L35"/>
    <mergeCell ref="C34:D34"/>
    <mergeCell ref="E34"/>
    <mergeCell ref="F34"/>
    <mergeCell ref="I34"/>
    <mergeCell ref="J34"/>
    <mergeCell ref="K32"/>
    <mergeCell ref="L32"/>
    <mergeCell ref="C33:D33"/>
    <mergeCell ref="E33"/>
    <mergeCell ref="F33"/>
    <mergeCell ref="I33"/>
    <mergeCell ref="J33"/>
    <mergeCell ref="K33"/>
    <mergeCell ref="L33"/>
    <mergeCell ref="C32:D32"/>
    <mergeCell ref="E32"/>
    <mergeCell ref="F32"/>
    <mergeCell ref="I32"/>
    <mergeCell ref="J32"/>
    <mergeCell ref="K30"/>
    <mergeCell ref="L30"/>
    <mergeCell ref="C31:D31"/>
    <mergeCell ref="E31"/>
    <mergeCell ref="F31"/>
    <mergeCell ref="I31"/>
    <mergeCell ref="J31"/>
    <mergeCell ref="K31"/>
    <mergeCell ref="L31"/>
    <mergeCell ref="C30:D30"/>
    <mergeCell ref="E30"/>
    <mergeCell ref="F30"/>
    <mergeCell ref="I30"/>
    <mergeCell ref="J30"/>
    <mergeCell ref="K28"/>
    <mergeCell ref="L28"/>
    <mergeCell ref="C29:D29"/>
    <mergeCell ref="E29"/>
    <mergeCell ref="F29"/>
    <mergeCell ref="I29"/>
    <mergeCell ref="J29"/>
    <mergeCell ref="K29"/>
    <mergeCell ref="L29"/>
    <mergeCell ref="C28:D28"/>
    <mergeCell ref="E28"/>
    <mergeCell ref="F28"/>
    <mergeCell ref="I28"/>
    <mergeCell ref="J28"/>
    <mergeCell ref="K26"/>
    <mergeCell ref="L26"/>
    <mergeCell ref="C27:D27"/>
    <mergeCell ref="E27"/>
    <mergeCell ref="F27"/>
    <mergeCell ref="I27"/>
    <mergeCell ref="J27"/>
    <mergeCell ref="K27"/>
    <mergeCell ref="L27"/>
    <mergeCell ref="C26:D26"/>
    <mergeCell ref="E26"/>
    <mergeCell ref="F26"/>
    <mergeCell ref="I26"/>
    <mergeCell ref="J26"/>
    <mergeCell ref="K24"/>
    <mergeCell ref="L24"/>
    <mergeCell ref="C25:D25"/>
    <mergeCell ref="E25"/>
    <mergeCell ref="F25"/>
    <mergeCell ref="I25"/>
    <mergeCell ref="J25"/>
    <mergeCell ref="K25"/>
    <mergeCell ref="L25"/>
    <mergeCell ref="C24:D24"/>
    <mergeCell ref="E24"/>
    <mergeCell ref="F24"/>
    <mergeCell ref="I24"/>
    <mergeCell ref="J24"/>
    <mergeCell ref="K22"/>
    <mergeCell ref="L22"/>
    <mergeCell ref="C23:D23"/>
    <mergeCell ref="E23"/>
    <mergeCell ref="F23"/>
    <mergeCell ref="I23"/>
    <mergeCell ref="J23"/>
    <mergeCell ref="K23"/>
    <mergeCell ref="L23"/>
    <mergeCell ref="C22:D22"/>
    <mergeCell ref="E22"/>
    <mergeCell ref="F22"/>
    <mergeCell ref="I22"/>
    <mergeCell ref="J22"/>
    <mergeCell ref="K20"/>
    <mergeCell ref="L20"/>
    <mergeCell ref="C21:D21"/>
    <mergeCell ref="E21"/>
    <mergeCell ref="F21"/>
    <mergeCell ref="I21"/>
    <mergeCell ref="J21"/>
    <mergeCell ref="K21"/>
    <mergeCell ref="L21"/>
    <mergeCell ref="C20:D20"/>
    <mergeCell ref="E20"/>
    <mergeCell ref="F20"/>
    <mergeCell ref="I20"/>
    <mergeCell ref="J20"/>
    <mergeCell ref="K18"/>
    <mergeCell ref="L18"/>
    <mergeCell ref="C19:D19"/>
    <mergeCell ref="E19"/>
    <mergeCell ref="F19"/>
    <mergeCell ref="I19"/>
    <mergeCell ref="J19"/>
    <mergeCell ref="K19"/>
    <mergeCell ref="L19"/>
    <mergeCell ref="C18:D18"/>
    <mergeCell ref="E18"/>
    <mergeCell ref="F18"/>
    <mergeCell ref="I18"/>
    <mergeCell ref="J18"/>
    <mergeCell ref="K16"/>
    <mergeCell ref="L16"/>
    <mergeCell ref="C17:D17"/>
    <mergeCell ref="E17"/>
    <mergeCell ref="F17"/>
    <mergeCell ref="I17"/>
    <mergeCell ref="J17"/>
    <mergeCell ref="K17"/>
    <mergeCell ref="L17"/>
    <mergeCell ref="C16:D16"/>
    <mergeCell ref="E16"/>
    <mergeCell ref="F16"/>
    <mergeCell ref="I16"/>
    <mergeCell ref="J16"/>
    <mergeCell ref="C13:Q13"/>
    <mergeCell ref="C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C7:Q7"/>
    <mergeCell ref="C8:Q8"/>
    <mergeCell ref="C9:Q9"/>
    <mergeCell ref="C10:Q10"/>
    <mergeCell ref="C11:Q11"/>
  </mergeCells>
  <dataValidations count="1">
    <dataValidation type="decimal" operator="greaterThanOrEqual" showErrorMessage="1" errorTitle="Kesalahan Jenis Data" error="Data yang dimasukkan harus berupa Angka!" sqref="I16:L115" xr:uid="{00000000-0002-0000-0400-000000000000}">
      <formula1>-1000000000000000000</formula1>
      <formula2>1000000000000000000</formula2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5"/>
  <sheetViews>
    <sheetView showGridLines="0" tabSelected="1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/>
    </sheetView>
  </sheetViews>
  <sheetFormatPr defaultRowHeight="15"/>
  <cols>
    <col min="1" max="1" width="9.140625" style="1" customWidth="1"/>
    <col min="2" max="2" width="1" style="1" customWidth="1"/>
    <col min="3" max="4" width="20" style="1" customWidth="1"/>
    <col min="5" max="9" width="30" style="1" customWidth="1"/>
    <col min="10" max="10" width="1" style="1" customWidth="1"/>
    <col min="11" max="11" width="9.140625" style="1" customWidth="1"/>
    <col min="12" max="16384" width="9.140625" style="1"/>
  </cols>
  <sheetData>
    <row r="2" spans="2:10" ht="5.0999999999999996" customHeight="1">
      <c r="B2" s="9" t="s">
        <v>159</v>
      </c>
      <c r="C2" s="2"/>
      <c r="D2" s="2"/>
      <c r="E2" s="2"/>
      <c r="F2" s="2"/>
      <c r="G2" s="2"/>
      <c r="H2" s="2"/>
      <c r="I2" s="2"/>
      <c r="J2" s="2"/>
    </row>
    <row r="3" spans="2:10" hidden="1">
      <c r="B3" s="9" t="s">
        <v>8</v>
      </c>
      <c r="C3" s="2"/>
      <c r="D3" s="2"/>
      <c r="E3" s="2"/>
      <c r="F3" s="2"/>
      <c r="G3" s="2"/>
      <c r="H3" s="2"/>
      <c r="I3" s="2"/>
      <c r="J3" s="2"/>
    </row>
    <row r="4" spans="2:10" hidden="1">
      <c r="B4" s="2"/>
      <c r="C4" s="2"/>
      <c r="D4" s="2"/>
      <c r="E4" s="2"/>
      <c r="F4" s="2"/>
      <c r="G4" s="2"/>
      <c r="H4" s="2"/>
      <c r="I4" s="2"/>
      <c r="J4" s="2"/>
    </row>
    <row r="5" spans="2:10" hidden="1">
      <c r="B5" s="2"/>
      <c r="C5" s="2"/>
      <c r="D5" s="2"/>
      <c r="E5" s="2"/>
      <c r="F5" s="2"/>
      <c r="G5" s="2"/>
      <c r="H5" s="2"/>
      <c r="I5" s="2"/>
      <c r="J5" s="2"/>
    </row>
    <row r="6" spans="2:10" hidden="1">
      <c r="B6" s="2"/>
      <c r="C6" s="2"/>
      <c r="D6" s="2"/>
      <c r="E6" s="2"/>
      <c r="F6" s="2"/>
      <c r="G6" s="2"/>
      <c r="H6" s="2"/>
      <c r="I6" s="2"/>
      <c r="J6" s="2"/>
    </row>
    <row r="7" spans="2:10" ht="17.25">
      <c r="B7" s="2"/>
      <c r="C7" s="28" t="str">
        <f>UPPER('Data Umum'!D7)</f>
        <v/>
      </c>
      <c r="D7" s="28"/>
      <c r="E7" s="28"/>
      <c r="F7" s="28"/>
      <c r="G7" s="28"/>
      <c r="H7" s="28"/>
      <c r="I7" s="28"/>
      <c r="J7" s="2"/>
    </row>
    <row r="8" spans="2:10">
      <c r="B8" s="2"/>
      <c r="C8" s="29" t="s">
        <v>51</v>
      </c>
      <c r="D8" s="29"/>
      <c r="E8" s="29"/>
      <c r="F8" s="29"/>
      <c r="G8" s="29"/>
      <c r="H8" s="29"/>
      <c r="I8" s="29"/>
      <c r="J8" s="2"/>
    </row>
    <row r="9" spans="2:10">
      <c r="B9" s="2"/>
      <c r="C9" s="29" t="s">
        <v>160</v>
      </c>
      <c r="D9" s="29"/>
      <c r="E9" s="29"/>
      <c r="F9" s="29"/>
      <c r="G9" s="29"/>
      <c r="H9" s="29"/>
      <c r="I9" s="29"/>
      <c r="J9" s="2"/>
    </row>
    <row r="10" spans="2:10">
      <c r="B10" s="2"/>
      <c r="C10" s="29"/>
      <c r="D10" s="29"/>
      <c r="E10" s="29"/>
      <c r="F10" s="29"/>
      <c r="G10" s="29"/>
      <c r="H10" s="29"/>
      <c r="I10" s="29"/>
      <c r="J10" s="2"/>
    </row>
    <row r="11" spans="2:10">
      <c r="B11" s="2"/>
      <c r="C11" s="30" t="str">
        <f>"Per " &amp; TEXT('Data Umum'!D11, "DD-MMM-YYYY")</f>
        <v>Per 00-Jan-1900</v>
      </c>
      <c r="D11" s="30"/>
      <c r="E11" s="30"/>
      <c r="F11" s="30"/>
      <c r="G11" s="30"/>
      <c r="H11" s="30"/>
      <c r="I11" s="30"/>
      <c r="J11" s="2"/>
    </row>
    <row r="12" spans="2:10" hidden="1">
      <c r="B12" s="2"/>
      <c r="C12" s="2"/>
      <c r="D12" s="2"/>
      <c r="E12" s="2"/>
      <c r="F12" s="2"/>
      <c r="G12" s="2"/>
      <c r="H12" s="2"/>
      <c r="I12" s="2"/>
      <c r="J12" s="2"/>
    </row>
    <row r="13" spans="2:10">
      <c r="B13" s="2"/>
      <c r="C13" s="31"/>
      <c r="D13" s="31"/>
      <c r="E13" s="31"/>
      <c r="F13" s="31"/>
      <c r="G13" s="31"/>
      <c r="H13" s="31"/>
      <c r="I13" s="31"/>
      <c r="J13" s="2"/>
    </row>
    <row r="14" spans="2:10">
      <c r="B14" s="2"/>
      <c r="C14" s="32" t="s">
        <v>161</v>
      </c>
      <c r="D14" s="33"/>
      <c r="E14" s="32" t="str">
        <f>"Pihak Terafiliasi"</f>
        <v>Pihak Terafiliasi</v>
      </c>
      <c r="F14" s="33"/>
      <c r="G14" s="32" t="str">
        <f>"Pihak Tidak Terafiliasi"</f>
        <v>Pihak Tidak Terafiliasi</v>
      </c>
      <c r="H14" s="33"/>
      <c r="I14" s="36" t="str">
        <f>""</f>
        <v/>
      </c>
      <c r="J14" s="2"/>
    </row>
    <row r="15" spans="2:10">
      <c r="B15" s="2"/>
      <c r="C15" s="34"/>
      <c r="D15" s="35"/>
      <c r="E15" s="36" t="str">
        <f>"Asing (Rp)"</f>
        <v>Asing (Rp)</v>
      </c>
      <c r="F15" s="36" t="str">
        <f>"Domestik (Rp)"</f>
        <v>Domestik (Rp)</v>
      </c>
      <c r="G15" s="36" t="str">
        <f>"Asing (Rp)"</f>
        <v>Asing (Rp)</v>
      </c>
      <c r="H15" s="36" t="str">
        <f>"Domestik (Rp)"</f>
        <v>Domestik (Rp)</v>
      </c>
      <c r="I15" s="36" t="str">
        <f>"Nilai Transaksi (Rp)"</f>
        <v>Nilai Transaksi (Rp)</v>
      </c>
      <c r="J15" s="2"/>
    </row>
    <row r="16" spans="2:10">
      <c r="B16" s="2"/>
      <c r="C16" s="38" t="s">
        <v>162</v>
      </c>
      <c r="D16" s="33"/>
      <c r="E16" s="39">
        <v>0</v>
      </c>
      <c r="F16" s="39">
        <v>0</v>
      </c>
      <c r="G16" s="39">
        <v>0</v>
      </c>
      <c r="H16" s="39">
        <v>0</v>
      </c>
      <c r="I16" s="13">
        <f>E16+F16+G16+H16</f>
        <v>0</v>
      </c>
      <c r="J16" s="2"/>
    </row>
    <row r="17" spans="2:10">
      <c r="B17" s="2"/>
      <c r="C17" s="38" t="s">
        <v>163</v>
      </c>
      <c r="D17" s="33"/>
      <c r="E17" s="39">
        <v>0</v>
      </c>
      <c r="F17" s="39">
        <v>0</v>
      </c>
      <c r="G17" s="39">
        <v>0</v>
      </c>
      <c r="H17" s="39">
        <v>0</v>
      </c>
      <c r="I17" s="13">
        <f>E17+F17+G17+H17</f>
        <v>0</v>
      </c>
      <c r="J17" s="2"/>
    </row>
    <row r="18" spans="2:10">
      <c r="B18" s="2"/>
      <c r="C18" s="38" t="s">
        <v>164</v>
      </c>
      <c r="D18" s="33"/>
      <c r="E18" s="13">
        <f>0</f>
        <v>0</v>
      </c>
      <c r="F18" s="13">
        <f>0</f>
        <v>0</v>
      </c>
      <c r="G18" s="13">
        <f>0</f>
        <v>0</v>
      </c>
      <c r="H18" s="13">
        <f>0</f>
        <v>0</v>
      </c>
      <c r="I18" s="39">
        <v>0</v>
      </c>
      <c r="J18" s="2"/>
    </row>
    <row r="19" spans="2:10">
      <c r="B19" s="2"/>
      <c r="C19" s="38" t="s">
        <v>165</v>
      </c>
      <c r="D19" s="33"/>
      <c r="E19" s="39">
        <v>0</v>
      </c>
      <c r="F19" s="39">
        <v>0</v>
      </c>
      <c r="G19" s="39">
        <v>0</v>
      </c>
      <c r="H19" s="39">
        <v>0</v>
      </c>
      <c r="I19" s="13">
        <f>E19+F19+G19+H19</f>
        <v>0</v>
      </c>
      <c r="J19" s="2"/>
    </row>
    <row r="20" spans="2:10">
      <c r="B20" s="2"/>
      <c r="C20" s="38" t="s">
        <v>166</v>
      </c>
      <c r="D20" s="33"/>
      <c r="E20" s="39">
        <v>0</v>
      </c>
      <c r="F20" s="39">
        <v>0</v>
      </c>
      <c r="G20" s="39">
        <v>0</v>
      </c>
      <c r="H20" s="39">
        <v>0</v>
      </c>
      <c r="I20" s="13">
        <f>E20+F20+G20+H20</f>
        <v>0</v>
      </c>
      <c r="J20" s="2"/>
    </row>
    <row r="21" spans="2:10">
      <c r="B21" s="2"/>
      <c r="C21" s="38" t="s">
        <v>167</v>
      </c>
      <c r="D21" s="33"/>
      <c r="E21" s="13">
        <f>0</f>
        <v>0</v>
      </c>
      <c r="F21" s="13">
        <f>0</f>
        <v>0</v>
      </c>
      <c r="G21" s="13">
        <f>0</f>
        <v>0</v>
      </c>
      <c r="H21" s="13">
        <f>0</f>
        <v>0</v>
      </c>
      <c r="I21" s="39">
        <v>0</v>
      </c>
      <c r="J21" s="2"/>
    </row>
    <row r="22" spans="2:10">
      <c r="B22" s="2"/>
      <c r="C22" s="38" t="s">
        <v>168</v>
      </c>
      <c r="D22" s="33"/>
      <c r="E22" s="39">
        <v>0</v>
      </c>
      <c r="F22" s="39">
        <v>0</v>
      </c>
      <c r="G22" s="39">
        <v>0</v>
      </c>
      <c r="H22" s="39">
        <v>0</v>
      </c>
      <c r="I22" s="13">
        <f>E22+F22+G22+H22</f>
        <v>0</v>
      </c>
      <c r="J22" s="2"/>
    </row>
    <row r="23" spans="2:10">
      <c r="B23" s="2"/>
      <c r="C23" s="38" t="s">
        <v>169</v>
      </c>
      <c r="D23" s="33"/>
      <c r="E23" s="39">
        <v>0</v>
      </c>
      <c r="F23" s="39">
        <v>0</v>
      </c>
      <c r="G23" s="39">
        <v>0</v>
      </c>
      <c r="H23" s="39">
        <v>0</v>
      </c>
      <c r="I23" s="13">
        <f>E23+F23+G23+H23</f>
        <v>0</v>
      </c>
      <c r="J23" s="2"/>
    </row>
    <row r="24" spans="2:10">
      <c r="B24" s="2"/>
      <c r="C24" s="2"/>
      <c r="D24" s="2"/>
      <c r="E24" s="2"/>
      <c r="F24" s="2"/>
      <c r="G24" s="2"/>
      <c r="H24" s="2"/>
      <c r="I24" s="2"/>
      <c r="J24" s="2"/>
    </row>
    <row r="25" spans="2:10" ht="5.0999999999999996" customHeight="1">
      <c r="B25" s="2"/>
      <c r="C25" s="2"/>
      <c r="D25" s="2"/>
      <c r="E25" s="2"/>
      <c r="F25" s="2"/>
      <c r="G25" s="2"/>
      <c r="H25" s="2"/>
      <c r="I25" s="2"/>
      <c r="J25" s="2"/>
    </row>
  </sheetData>
  <sheetProtection password="BBAF" sheet="1" formatColumns="0" formatRows="0" selectLockedCells="1"/>
  <mergeCells count="49">
    <mergeCell ref="C23:D23"/>
    <mergeCell ref="E23"/>
    <mergeCell ref="F23"/>
    <mergeCell ref="G23"/>
    <mergeCell ref="H23"/>
    <mergeCell ref="C21:D21"/>
    <mergeCell ref="I21"/>
    <mergeCell ref="C22:D22"/>
    <mergeCell ref="E22"/>
    <mergeCell ref="F22"/>
    <mergeCell ref="G22"/>
    <mergeCell ref="H22"/>
    <mergeCell ref="C20:D20"/>
    <mergeCell ref="E20"/>
    <mergeCell ref="F20"/>
    <mergeCell ref="G20"/>
    <mergeCell ref="H20"/>
    <mergeCell ref="C18:D18"/>
    <mergeCell ref="I18"/>
    <mergeCell ref="C19:D19"/>
    <mergeCell ref="E19"/>
    <mergeCell ref="F19"/>
    <mergeCell ref="G19"/>
    <mergeCell ref="H19"/>
    <mergeCell ref="C17:D17"/>
    <mergeCell ref="E17"/>
    <mergeCell ref="F17"/>
    <mergeCell ref="G17"/>
    <mergeCell ref="H17"/>
    <mergeCell ref="C16:D16"/>
    <mergeCell ref="E16"/>
    <mergeCell ref="F16"/>
    <mergeCell ref="G16"/>
    <mergeCell ref="H16"/>
    <mergeCell ref="C13:I13"/>
    <mergeCell ref="C14:D15"/>
    <mergeCell ref="E15"/>
    <mergeCell ref="F15"/>
    <mergeCell ref="E14:F14"/>
    <mergeCell ref="G15"/>
    <mergeCell ref="H15"/>
    <mergeCell ref="I14"/>
    <mergeCell ref="G14:H14"/>
    <mergeCell ref="I15"/>
    <mergeCell ref="C7:I7"/>
    <mergeCell ref="C8:I8"/>
    <mergeCell ref="C9:I9"/>
    <mergeCell ref="C10:I10"/>
    <mergeCell ref="C11:I11"/>
  </mergeCells>
  <dataValidations count="1">
    <dataValidation type="decimal" operator="greaterThanOrEqual" showErrorMessage="1" errorTitle="Kesalahan Jenis Data" error="Data yang dimasukkan harus berupa Angka!" sqref="E22:H23 I21 E19:H20 I18 E16:H17" xr:uid="{00000000-0002-0000-0500-000000000000}">
      <formula1>-1000000000000000000</formula1>
      <formula2>1000000000000000000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118"/>
  <sheetViews>
    <sheetView showGridLines="0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 activeCell="E16" sqref="E16"/>
    </sheetView>
  </sheetViews>
  <sheetFormatPr defaultRowHeight="15"/>
  <cols>
    <col min="1" max="1" width="9.140625" style="1" customWidth="1"/>
    <col min="2" max="3" width="1" style="1" customWidth="1"/>
    <col min="4" max="4" width="20" style="1" customWidth="1"/>
    <col min="5" max="11" width="30" style="1" customWidth="1"/>
    <col min="12" max="12" width="1" style="1" customWidth="1"/>
    <col min="13" max="13" width="9.140625" style="1" customWidth="1"/>
    <col min="14" max="16384" width="9.140625" style="1"/>
  </cols>
  <sheetData>
    <row r="2" spans="2:12" ht="5.0999999999999996" customHeight="1">
      <c r="B2" s="9" t="s">
        <v>48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hidden="1">
      <c r="B3" s="9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hidden="1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hidden="1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hidden="1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 ht="17.25">
      <c r="B7" s="2"/>
      <c r="C7" s="28" t="str">
        <f>UPPER('Data Umum'!D7)</f>
        <v/>
      </c>
      <c r="D7" s="28"/>
      <c r="E7" s="28"/>
      <c r="F7" s="28"/>
      <c r="G7" s="28"/>
      <c r="H7" s="28"/>
      <c r="I7" s="28"/>
      <c r="J7" s="28"/>
      <c r="K7" s="28"/>
      <c r="L7" s="2"/>
    </row>
    <row r="8" spans="2:12">
      <c r="B8" s="2"/>
      <c r="C8" s="29" t="s">
        <v>51</v>
      </c>
      <c r="D8" s="29"/>
      <c r="E8" s="29"/>
      <c r="F8" s="29"/>
      <c r="G8" s="29"/>
      <c r="H8" s="29"/>
      <c r="I8" s="29"/>
      <c r="J8" s="29"/>
      <c r="K8" s="29"/>
      <c r="L8" s="2"/>
    </row>
    <row r="9" spans="2:12">
      <c r="B9" s="2"/>
      <c r="C9" s="29" t="s">
        <v>170</v>
      </c>
      <c r="D9" s="29"/>
      <c r="E9" s="29"/>
      <c r="F9" s="29"/>
      <c r="G9" s="29"/>
      <c r="H9" s="29"/>
      <c r="I9" s="29"/>
      <c r="J9" s="29"/>
      <c r="K9" s="29"/>
      <c r="L9" s="2"/>
    </row>
    <row r="10" spans="2:12"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"/>
    </row>
    <row r="11" spans="2:12">
      <c r="B11" s="2"/>
      <c r="C11" s="30" t="str">
        <f>"Per " &amp; TEXT('Data Umum'!D11, "DD-MMM-YYYY")</f>
        <v>Per 00-Jan-1900</v>
      </c>
      <c r="D11" s="30"/>
      <c r="E11" s="30"/>
      <c r="F11" s="30"/>
      <c r="G11" s="30"/>
      <c r="H11" s="30"/>
      <c r="I11" s="30"/>
      <c r="J11" s="30"/>
      <c r="K11" s="30"/>
      <c r="L11" s="2"/>
    </row>
    <row r="12" spans="2:12" hidden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>
      <c r="B13" s="2"/>
      <c r="C13" s="31"/>
      <c r="D13" s="31"/>
      <c r="E13" s="31"/>
      <c r="F13" s="31"/>
      <c r="G13" s="31"/>
      <c r="H13" s="31"/>
      <c r="I13" s="31"/>
      <c r="J13" s="31"/>
      <c r="K13" s="31"/>
      <c r="L13" s="2"/>
    </row>
    <row r="14" spans="2:12">
      <c r="B14" s="2"/>
      <c r="C14" s="32" t="s">
        <v>57</v>
      </c>
      <c r="D14" s="33"/>
      <c r="E14" s="36" t="str">
        <f>"Kode Aset Keuangan Digital"</f>
        <v>Kode Aset Keuangan Digital</v>
      </c>
      <c r="F14" s="36" t="str">
        <f>"Nama Aset Keuangan Digital"</f>
        <v>Nama Aset Keuangan Digital</v>
      </c>
      <c r="G14" s="36" t="str">
        <f>"Harga Terendah (Rp)"</f>
        <v>Harga Terendah (Rp)</v>
      </c>
      <c r="H14" s="36" t="str">
        <f>"Harga Tertinggi (Rp)"</f>
        <v>Harga Tertinggi (Rp)</v>
      </c>
      <c r="I14" s="36" t="str">
        <f>"Frekuensi Transaksi"</f>
        <v>Frekuensi Transaksi</v>
      </c>
      <c r="J14" s="36" t="str">
        <f>"Volume (Unit)"</f>
        <v>Volume (Unit)</v>
      </c>
      <c r="K14" s="36" t="str">
        <f>"Nilai Transaksi (Rp)"</f>
        <v>Nilai Transaksi (Rp)</v>
      </c>
      <c r="L14" s="2"/>
    </row>
    <row r="15" spans="2:12">
      <c r="B15" s="2"/>
      <c r="C15" s="34"/>
      <c r="D15" s="35"/>
      <c r="E15" s="37"/>
      <c r="F15" s="37"/>
      <c r="G15" s="37"/>
      <c r="H15" s="37"/>
      <c r="I15" s="37"/>
      <c r="J15" s="37"/>
      <c r="K15" s="37"/>
      <c r="L15" s="2"/>
    </row>
    <row r="16" spans="2:12">
      <c r="B16" s="2"/>
      <c r="C16" s="38" t="s">
        <v>8</v>
      </c>
      <c r="D16" s="33"/>
      <c r="E16" s="40" t="s">
        <v>58</v>
      </c>
      <c r="F16" s="40" t="s">
        <v>58</v>
      </c>
      <c r="G16" s="39">
        <v>0</v>
      </c>
      <c r="H16" s="39">
        <v>0</v>
      </c>
      <c r="I16" s="44">
        <v>0</v>
      </c>
      <c r="J16" s="41">
        <v>0</v>
      </c>
      <c r="K16" s="39">
        <v>0</v>
      </c>
      <c r="L16" s="2"/>
    </row>
    <row r="17" spans="2:12">
      <c r="B17" s="2"/>
      <c r="C17" s="38" t="s">
        <v>54</v>
      </c>
      <c r="D17" s="33"/>
      <c r="E17" s="40" t="s">
        <v>58</v>
      </c>
      <c r="F17" s="40" t="s">
        <v>58</v>
      </c>
      <c r="G17" s="39">
        <v>0</v>
      </c>
      <c r="H17" s="39">
        <v>0</v>
      </c>
      <c r="I17" s="44">
        <v>0</v>
      </c>
      <c r="J17" s="41">
        <v>0</v>
      </c>
      <c r="K17" s="39">
        <v>0</v>
      </c>
      <c r="L17" s="2"/>
    </row>
    <row r="18" spans="2:12">
      <c r="B18" s="2"/>
      <c r="C18" s="38" t="s">
        <v>59</v>
      </c>
      <c r="D18" s="33"/>
      <c r="E18" s="40" t="s">
        <v>58</v>
      </c>
      <c r="F18" s="40" t="s">
        <v>58</v>
      </c>
      <c r="G18" s="39">
        <v>0</v>
      </c>
      <c r="H18" s="39">
        <v>0</v>
      </c>
      <c r="I18" s="44">
        <v>0</v>
      </c>
      <c r="J18" s="41">
        <v>0</v>
      </c>
      <c r="K18" s="39">
        <v>0</v>
      </c>
      <c r="L18" s="2"/>
    </row>
    <row r="19" spans="2:12">
      <c r="B19" s="2"/>
      <c r="C19" s="38" t="s">
        <v>60</v>
      </c>
      <c r="D19" s="33"/>
      <c r="E19" s="40" t="s">
        <v>58</v>
      </c>
      <c r="F19" s="40" t="s">
        <v>58</v>
      </c>
      <c r="G19" s="39">
        <v>0</v>
      </c>
      <c r="H19" s="39">
        <v>0</v>
      </c>
      <c r="I19" s="44">
        <v>0</v>
      </c>
      <c r="J19" s="41">
        <v>0</v>
      </c>
      <c r="K19" s="39">
        <v>0</v>
      </c>
      <c r="L19" s="2"/>
    </row>
    <row r="20" spans="2:12">
      <c r="B20" s="2"/>
      <c r="C20" s="38" t="s">
        <v>61</v>
      </c>
      <c r="D20" s="33"/>
      <c r="E20" s="40" t="s">
        <v>58</v>
      </c>
      <c r="F20" s="40" t="s">
        <v>58</v>
      </c>
      <c r="G20" s="39">
        <v>0</v>
      </c>
      <c r="H20" s="39">
        <v>0</v>
      </c>
      <c r="I20" s="44">
        <v>0</v>
      </c>
      <c r="J20" s="41">
        <v>0</v>
      </c>
      <c r="K20" s="39">
        <v>0</v>
      </c>
      <c r="L20" s="2"/>
    </row>
    <row r="21" spans="2:12">
      <c r="B21" s="2"/>
      <c r="C21" s="38" t="s">
        <v>62</v>
      </c>
      <c r="D21" s="33"/>
      <c r="E21" s="40" t="s">
        <v>58</v>
      </c>
      <c r="F21" s="40" t="s">
        <v>58</v>
      </c>
      <c r="G21" s="39">
        <v>0</v>
      </c>
      <c r="H21" s="39">
        <v>0</v>
      </c>
      <c r="I21" s="44">
        <v>0</v>
      </c>
      <c r="J21" s="41">
        <v>0</v>
      </c>
      <c r="K21" s="39">
        <v>0</v>
      </c>
      <c r="L21" s="2"/>
    </row>
    <row r="22" spans="2:12">
      <c r="B22" s="2"/>
      <c r="C22" s="38" t="s">
        <v>63</v>
      </c>
      <c r="D22" s="33"/>
      <c r="E22" s="40" t="s">
        <v>58</v>
      </c>
      <c r="F22" s="40" t="s">
        <v>58</v>
      </c>
      <c r="G22" s="39">
        <v>0</v>
      </c>
      <c r="H22" s="39">
        <v>0</v>
      </c>
      <c r="I22" s="44">
        <v>0</v>
      </c>
      <c r="J22" s="41">
        <v>0</v>
      </c>
      <c r="K22" s="39">
        <v>0</v>
      </c>
      <c r="L22" s="2"/>
    </row>
    <row r="23" spans="2:12">
      <c r="B23" s="2"/>
      <c r="C23" s="38" t="s">
        <v>64</v>
      </c>
      <c r="D23" s="33"/>
      <c r="E23" s="40" t="s">
        <v>58</v>
      </c>
      <c r="F23" s="40" t="s">
        <v>58</v>
      </c>
      <c r="G23" s="39">
        <v>0</v>
      </c>
      <c r="H23" s="39">
        <v>0</v>
      </c>
      <c r="I23" s="44">
        <v>0</v>
      </c>
      <c r="J23" s="41">
        <v>0</v>
      </c>
      <c r="K23" s="39">
        <v>0</v>
      </c>
      <c r="L23" s="2"/>
    </row>
    <row r="24" spans="2:12">
      <c r="B24" s="2"/>
      <c r="C24" s="38" t="s">
        <v>65</v>
      </c>
      <c r="D24" s="33"/>
      <c r="E24" s="40" t="s">
        <v>58</v>
      </c>
      <c r="F24" s="40" t="s">
        <v>58</v>
      </c>
      <c r="G24" s="39">
        <v>0</v>
      </c>
      <c r="H24" s="39">
        <v>0</v>
      </c>
      <c r="I24" s="44">
        <v>0</v>
      </c>
      <c r="J24" s="41">
        <v>0</v>
      </c>
      <c r="K24" s="39">
        <v>0</v>
      </c>
      <c r="L24" s="2"/>
    </row>
    <row r="25" spans="2:12">
      <c r="B25" s="2"/>
      <c r="C25" s="38" t="s">
        <v>66</v>
      </c>
      <c r="D25" s="33"/>
      <c r="E25" s="40" t="s">
        <v>58</v>
      </c>
      <c r="F25" s="40" t="s">
        <v>58</v>
      </c>
      <c r="G25" s="39">
        <v>0</v>
      </c>
      <c r="H25" s="39">
        <v>0</v>
      </c>
      <c r="I25" s="44">
        <v>0</v>
      </c>
      <c r="J25" s="41">
        <v>0</v>
      </c>
      <c r="K25" s="39">
        <v>0</v>
      </c>
      <c r="L25" s="2"/>
    </row>
    <row r="26" spans="2:12">
      <c r="B26" s="2"/>
      <c r="C26" s="38" t="s">
        <v>67</v>
      </c>
      <c r="D26" s="33"/>
      <c r="E26" s="40" t="s">
        <v>58</v>
      </c>
      <c r="F26" s="40" t="s">
        <v>58</v>
      </c>
      <c r="G26" s="39">
        <v>0</v>
      </c>
      <c r="H26" s="39">
        <v>0</v>
      </c>
      <c r="I26" s="44">
        <v>0</v>
      </c>
      <c r="J26" s="41">
        <v>0</v>
      </c>
      <c r="K26" s="39">
        <v>0</v>
      </c>
      <c r="L26" s="2"/>
    </row>
    <row r="27" spans="2:12">
      <c r="B27" s="2"/>
      <c r="C27" s="38" t="s">
        <v>68</v>
      </c>
      <c r="D27" s="33"/>
      <c r="E27" s="40" t="s">
        <v>58</v>
      </c>
      <c r="F27" s="40" t="s">
        <v>58</v>
      </c>
      <c r="G27" s="39">
        <v>0</v>
      </c>
      <c r="H27" s="39">
        <v>0</v>
      </c>
      <c r="I27" s="44">
        <v>0</v>
      </c>
      <c r="J27" s="41">
        <v>0</v>
      </c>
      <c r="K27" s="39">
        <v>0</v>
      </c>
      <c r="L27" s="2"/>
    </row>
    <row r="28" spans="2:12">
      <c r="B28" s="2"/>
      <c r="C28" s="38" t="s">
        <v>69</v>
      </c>
      <c r="D28" s="33"/>
      <c r="E28" s="40" t="s">
        <v>58</v>
      </c>
      <c r="F28" s="40" t="s">
        <v>58</v>
      </c>
      <c r="G28" s="39">
        <v>0</v>
      </c>
      <c r="H28" s="39">
        <v>0</v>
      </c>
      <c r="I28" s="44">
        <v>0</v>
      </c>
      <c r="J28" s="41">
        <v>0</v>
      </c>
      <c r="K28" s="39">
        <v>0</v>
      </c>
      <c r="L28" s="2"/>
    </row>
    <row r="29" spans="2:12">
      <c r="B29" s="2"/>
      <c r="C29" s="38" t="s">
        <v>70</v>
      </c>
      <c r="D29" s="33"/>
      <c r="E29" s="40" t="s">
        <v>58</v>
      </c>
      <c r="F29" s="40" t="s">
        <v>58</v>
      </c>
      <c r="G29" s="39">
        <v>0</v>
      </c>
      <c r="H29" s="39">
        <v>0</v>
      </c>
      <c r="I29" s="44">
        <v>0</v>
      </c>
      <c r="J29" s="41">
        <v>0</v>
      </c>
      <c r="K29" s="39">
        <v>0</v>
      </c>
      <c r="L29" s="2"/>
    </row>
    <row r="30" spans="2:12">
      <c r="B30" s="2"/>
      <c r="C30" s="38" t="s">
        <v>71</v>
      </c>
      <c r="D30" s="33"/>
      <c r="E30" s="40" t="s">
        <v>58</v>
      </c>
      <c r="F30" s="40" t="s">
        <v>58</v>
      </c>
      <c r="G30" s="39">
        <v>0</v>
      </c>
      <c r="H30" s="39">
        <v>0</v>
      </c>
      <c r="I30" s="44">
        <v>0</v>
      </c>
      <c r="J30" s="41">
        <v>0</v>
      </c>
      <c r="K30" s="39">
        <v>0</v>
      </c>
      <c r="L30" s="2"/>
    </row>
    <row r="31" spans="2:12">
      <c r="B31" s="2"/>
      <c r="C31" s="38" t="s">
        <v>72</v>
      </c>
      <c r="D31" s="33"/>
      <c r="E31" s="40" t="s">
        <v>58</v>
      </c>
      <c r="F31" s="40" t="s">
        <v>58</v>
      </c>
      <c r="G31" s="39">
        <v>0</v>
      </c>
      <c r="H31" s="39">
        <v>0</v>
      </c>
      <c r="I31" s="44">
        <v>0</v>
      </c>
      <c r="J31" s="41">
        <v>0</v>
      </c>
      <c r="K31" s="39">
        <v>0</v>
      </c>
      <c r="L31" s="2"/>
    </row>
    <row r="32" spans="2:12">
      <c r="B32" s="2"/>
      <c r="C32" s="38" t="s">
        <v>73</v>
      </c>
      <c r="D32" s="33"/>
      <c r="E32" s="40" t="s">
        <v>58</v>
      </c>
      <c r="F32" s="40" t="s">
        <v>58</v>
      </c>
      <c r="G32" s="39">
        <v>0</v>
      </c>
      <c r="H32" s="39">
        <v>0</v>
      </c>
      <c r="I32" s="44">
        <v>0</v>
      </c>
      <c r="J32" s="41">
        <v>0</v>
      </c>
      <c r="K32" s="39">
        <v>0</v>
      </c>
      <c r="L32" s="2"/>
    </row>
    <row r="33" spans="2:12">
      <c r="B33" s="2"/>
      <c r="C33" s="38" t="s">
        <v>74</v>
      </c>
      <c r="D33" s="33"/>
      <c r="E33" s="40" t="s">
        <v>58</v>
      </c>
      <c r="F33" s="40" t="s">
        <v>58</v>
      </c>
      <c r="G33" s="39">
        <v>0</v>
      </c>
      <c r="H33" s="39">
        <v>0</v>
      </c>
      <c r="I33" s="44">
        <v>0</v>
      </c>
      <c r="J33" s="41">
        <v>0</v>
      </c>
      <c r="K33" s="39">
        <v>0</v>
      </c>
      <c r="L33" s="2"/>
    </row>
    <row r="34" spans="2:12">
      <c r="B34" s="2"/>
      <c r="C34" s="38" t="s">
        <v>75</v>
      </c>
      <c r="D34" s="33"/>
      <c r="E34" s="40" t="s">
        <v>58</v>
      </c>
      <c r="F34" s="40" t="s">
        <v>58</v>
      </c>
      <c r="G34" s="39">
        <v>0</v>
      </c>
      <c r="H34" s="39">
        <v>0</v>
      </c>
      <c r="I34" s="44">
        <v>0</v>
      </c>
      <c r="J34" s="41">
        <v>0</v>
      </c>
      <c r="K34" s="39">
        <v>0</v>
      </c>
      <c r="L34" s="2"/>
    </row>
    <row r="35" spans="2:12">
      <c r="B35" s="2"/>
      <c r="C35" s="38" t="s">
        <v>76</v>
      </c>
      <c r="D35" s="33"/>
      <c r="E35" s="40" t="s">
        <v>58</v>
      </c>
      <c r="F35" s="40" t="s">
        <v>58</v>
      </c>
      <c r="G35" s="39">
        <v>0</v>
      </c>
      <c r="H35" s="39">
        <v>0</v>
      </c>
      <c r="I35" s="44">
        <v>0</v>
      </c>
      <c r="J35" s="41">
        <v>0</v>
      </c>
      <c r="K35" s="39">
        <v>0</v>
      </c>
      <c r="L35" s="2"/>
    </row>
    <row r="36" spans="2:12">
      <c r="B36" s="2"/>
      <c r="C36" s="38" t="s">
        <v>77</v>
      </c>
      <c r="D36" s="33"/>
      <c r="E36" s="40" t="s">
        <v>58</v>
      </c>
      <c r="F36" s="40" t="s">
        <v>58</v>
      </c>
      <c r="G36" s="39">
        <v>0</v>
      </c>
      <c r="H36" s="39">
        <v>0</v>
      </c>
      <c r="I36" s="44">
        <v>0</v>
      </c>
      <c r="J36" s="41">
        <v>0</v>
      </c>
      <c r="K36" s="39">
        <v>0</v>
      </c>
      <c r="L36" s="2"/>
    </row>
    <row r="37" spans="2:12">
      <c r="B37" s="2"/>
      <c r="C37" s="38" t="s">
        <v>78</v>
      </c>
      <c r="D37" s="33"/>
      <c r="E37" s="40" t="s">
        <v>58</v>
      </c>
      <c r="F37" s="40" t="s">
        <v>58</v>
      </c>
      <c r="G37" s="39">
        <v>0</v>
      </c>
      <c r="H37" s="39">
        <v>0</v>
      </c>
      <c r="I37" s="44">
        <v>0</v>
      </c>
      <c r="J37" s="41">
        <v>0</v>
      </c>
      <c r="K37" s="39">
        <v>0</v>
      </c>
      <c r="L37" s="2"/>
    </row>
    <row r="38" spans="2:12">
      <c r="B38" s="2"/>
      <c r="C38" s="38" t="s">
        <v>79</v>
      </c>
      <c r="D38" s="33"/>
      <c r="E38" s="40" t="s">
        <v>58</v>
      </c>
      <c r="F38" s="40" t="s">
        <v>58</v>
      </c>
      <c r="G38" s="39">
        <v>0</v>
      </c>
      <c r="H38" s="39">
        <v>0</v>
      </c>
      <c r="I38" s="44">
        <v>0</v>
      </c>
      <c r="J38" s="41">
        <v>0</v>
      </c>
      <c r="K38" s="39">
        <v>0</v>
      </c>
      <c r="L38" s="2"/>
    </row>
    <row r="39" spans="2:12">
      <c r="B39" s="2"/>
      <c r="C39" s="38" t="s">
        <v>80</v>
      </c>
      <c r="D39" s="33"/>
      <c r="E39" s="40" t="s">
        <v>58</v>
      </c>
      <c r="F39" s="40" t="s">
        <v>58</v>
      </c>
      <c r="G39" s="39">
        <v>0</v>
      </c>
      <c r="H39" s="39">
        <v>0</v>
      </c>
      <c r="I39" s="44">
        <v>0</v>
      </c>
      <c r="J39" s="41">
        <v>0</v>
      </c>
      <c r="K39" s="39">
        <v>0</v>
      </c>
      <c r="L39" s="2"/>
    </row>
    <row r="40" spans="2:12">
      <c r="B40" s="2"/>
      <c r="C40" s="38" t="s">
        <v>81</v>
      </c>
      <c r="D40" s="33"/>
      <c r="E40" s="40" t="s">
        <v>58</v>
      </c>
      <c r="F40" s="40" t="s">
        <v>58</v>
      </c>
      <c r="G40" s="39">
        <v>0</v>
      </c>
      <c r="H40" s="39">
        <v>0</v>
      </c>
      <c r="I40" s="44">
        <v>0</v>
      </c>
      <c r="J40" s="41">
        <v>0</v>
      </c>
      <c r="K40" s="39">
        <v>0</v>
      </c>
      <c r="L40" s="2"/>
    </row>
    <row r="41" spans="2:12">
      <c r="B41" s="2"/>
      <c r="C41" s="38" t="s">
        <v>82</v>
      </c>
      <c r="D41" s="33"/>
      <c r="E41" s="40" t="s">
        <v>58</v>
      </c>
      <c r="F41" s="40" t="s">
        <v>58</v>
      </c>
      <c r="G41" s="39">
        <v>0</v>
      </c>
      <c r="H41" s="39">
        <v>0</v>
      </c>
      <c r="I41" s="44">
        <v>0</v>
      </c>
      <c r="J41" s="41">
        <v>0</v>
      </c>
      <c r="K41" s="39">
        <v>0</v>
      </c>
      <c r="L41" s="2"/>
    </row>
    <row r="42" spans="2:12">
      <c r="B42" s="2"/>
      <c r="C42" s="38" t="s">
        <v>83</v>
      </c>
      <c r="D42" s="33"/>
      <c r="E42" s="40" t="s">
        <v>58</v>
      </c>
      <c r="F42" s="40" t="s">
        <v>58</v>
      </c>
      <c r="G42" s="39">
        <v>0</v>
      </c>
      <c r="H42" s="39">
        <v>0</v>
      </c>
      <c r="I42" s="44">
        <v>0</v>
      </c>
      <c r="J42" s="41">
        <v>0</v>
      </c>
      <c r="K42" s="39">
        <v>0</v>
      </c>
      <c r="L42" s="2"/>
    </row>
    <row r="43" spans="2:12">
      <c r="B43" s="2"/>
      <c r="C43" s="38" t="s">
        <v>84</v>
      </c>
      <c r="D43" s="33"/>
      <c r="E43" s="40" t="s">
        <v>58</v>
      </c>
      <c r="F43" s="40" t="s">
        <v>58</v>
      </c>
      <c r="G43" s="39">
        <v>0</v>
      </c>
      <c r="H43" s="39">
        <v>0</v>
      </c>
      <c r="I43" s="44">
        <v>0</v>
      </c>
      <c r="J43" s="41">
        <v>0</v>
      </c>
      <c r="K43" s="39">
        <v>0</v>
      </c>
      <c r="L43" s="2"/>
    </row>
    <row r="44" spans="2:12">
      <c r="B44" s="2"/>
      <c r="C44" s="38" t="s">
        <v>85</v>
      </c>
      <c r="D44" s="33"/>
      <c r="E44" s="40" t="s">
        <v>58</v>
      </c>
      <c r="F44" s="40" t="s">
        <v>58</v>
      </c>
      <c r="G44" s="39">
        <v>0</v>
      </c>
      <c r="H44" s="39">
        <v>0</v>
      </c>
      <c r="I44" s="44">
        <v>0</v>
      </c>
      <c r="J44" s="41">
        <v>0</v>
      </c>
      <c r="K44" s="39">
        <v>0</v>
      </c>
      <c r="L44" s="2"/>
    </row>
    <row r="45" spans="2:12">
      <c r="B45" s="2"/>
      <c r="C45" s="38" t="s">
        <v>86</v>
      </c>
      <c r="D45" s="33"/>
      <c r="E45" s="40" t="s">
        <v>58</v>
      </c>
      <c r="F45" s="40" t="s">
        <v>58</v>
      </c>
      <c r="G45" s="39">
        <v>0</v>
      </c>
      <c r="H45" s="39">
        <v>0</v>
      </c>
      <c r="I45" s="44">
        <v>0</v>
      </c>
      <c r="J45" s="41">
        <v>0</v>
      </c>
      <c r="K45" s="39">
        <v>0</v>
      </c>
      <c r="L45" s="2"/>
    </row>
    <row r="46" spans="2:12">
      <c r="B46" s="2"/>
      <c r="C46" s="38" t="s">
        <v>87</v>
      </c>
      <c r="D46" s="33"/>
      <c r="E46" s="40" t="s">
        <v>58</v>
      </c>
      <c r="F46" s="40" t="s">
        <v>58</v>
      </c>
      <c r="G46" s="39">
        <v>0</v>
      </c>
      <c r="H46" s="39">
        <v>0</v>
      </c>
      <c r="I46" s="44">
        <v>0</v>
      </c>
      <c r="J46" s="41">
        <v>0</v>
      </c>
      <c r="K46" s="39">
        <v>0</v>
      </c>
      <c r="L46" s="2"/>
    </row>
    <row r="47" spans="2:12">
      <c r="B47" s="2"/>
      <c r="C47" s="38" t="s">
        <v>88</v>
      </c>
      <c r="D47" s="33"/>
      <c r="E47" s="40" t="s">
        <v>58</v>
      </c>
      <c r="F47" s="40" t="s">
        <v>58</v>
      </c>
      <c r="G47" s="39">
        <v>0</v>
      </c>
      <c r="H47" s="39">
        <v>0</v>
      </c>
      <c r="I47" s="44">
        <v>0</v>
      </c>
      <c r="J47" s="41">
        <v>0</v>
      </c>
      <c r="K47" s="39">
        <v>0</v>
      </c>
      <c r="L47" s="2"/>
    </row>
    <row r="48" spans="2:12">
      <c r="B48" s="2"/>
      <c r="C48" s="38" t="s">
        <v>89</v>
      </c>
      <c r="D48" s="33"/>
      <c r="E48" s="40" t="s">
        <v>58</v>
      </c>
      <c r="F48" s="40" t="s">
        <v>58</v>
      </c>
      <c r="G48" s="39">
        <v>0</v>
      </c>
      <c r="H48" s="39">
        <v>0</v>
      </c>
      <c r="I48" s="44">
        <v>0</v>
      </c>
      <c r="J48" s="41">
        <v>0</v>
      </c>
      <c r="K48" s="39">
        <v>0</v>
      </c>
      <c r="L48" s="2"/>
    </row>
    <row r="49" spans="2:12">
      <c r="B49" s="2"/>
      <c r="C49" s="38" t="s">
        <v>90</v>
      </c>
      <c r="D49" s="33"/>
      <c r="E49" s="40" t="s">
        <v>58</v>
      </c>
      <c r="F49" s="40" t="s">
        <v>58</v>
      </c>
      <c r="G49" s="39">
        <v>0</v>
      </c>
      <c r="H49" s="39">
        <v>0</v>
      </c>
      <c r="I49" s="44">
        <v>0</v>
      </c>
      <c r="J49" s="41">
        <v>0</v>
      </c>
      <c r="K49" s="39">
        <v>0</v>
      </c>
      <c r="L49" s="2"/>
    </row>
    <row r="50" spans="2:12">
      <c r="B50" s="2"/>
      <c r="C50" s="38" t="s">
        <v>91</v>
      </c>
      <c r="D50" s="33"/>
      <c r="E50" s="40" t="s">
        <v>58</v>
      </c>
      <c r="F50" s="40" t="s">
        <v>58</v>
      </c>
      <c r="G50" s="39">
        <v>0</v>
      </c>
      <c r="H50" s="39">
        <v>0</v>
      </c>
      <c r="I50" s="44">
        <v>0</v>
      </c>
      <c r="J50" s="41">
        <v>0</v>
      </c>
      <c r="K50" s="39">
        <v>0</v>
      </c>
      <c r="L50" s="2"/>
    </row>
    <row r="51" spans="2:12">
      <c r="B51" s="2"/>
      <c r="C51" s="38" t="s">
        <v>92</v>
      </c>
      <c r="D51" s="33"/>
      <c r="E51" s="40" t="s">
        <v>58</v>
      </c>
      <c r="F51" s="40" t="s">
        <v>58</v>
      </c>
      <c r="G51" s="39">
        <v>0</v>
      </c>
      <c r="H51" s="39">
        <v>0</v>
      </c>
      <c r="I51" s="44">
        <v>0</v>
      </c>
      <c r="J51" s="41">
        <v>0</v>
      </c>
      <c r="K51" s="39">
        <v>0</v>
      </c>
      <c r="L51" s="2"/>
    </row>
    <row r="52" spans="2:12">
      <c r="B52" s="2"/>
      <c r="C52" s="38" t="s">
        <v>93</v>
      </c>
      <c r="D52" s="33"/>
      <c r="E52" s="40" t="s">
        <v>58</v>
      </c>
      <c r="F52" s="40" t="s">
        <v>58</v>
      </c>
      <c r="G52" s="39">
        <v>0</v>
      </c>
      <c r="H52" s="39">
        <v>0</v>
      </c>
      <c r="I52" s="44">
        <v>0</v>
      </c>
      <c r="J52" s="41">
        <v>0</v>
      </c>
      <c r="K52" s="39">
        <v>0</v>
      </c>
      <c r="L52" s="2"/>
    </row>
    <row r="53" spans="2:12">
      <c r="B53" s="2"/>
      <c r="C53" s="38" t="s">
        <v>94</v>
      </c>
      <c r="D53" s="33"/>
      <c r="E53" s="40" t="s">
        <v>58</v>
      </c>
      <c r="F53" s="40" t="s">
        <v>58</v>
      </c>
      <c r="G53" s="39">
        <v>0</v>
      </c>
      <c r="H53" s="39">
        <v>0</v>
      </c>
      <c r="I53" s="44">
        <v>0</v>
      </c>
      <c r="J53" s="41">
        <v>0</v>
      </c>
      <c r="K53" s="39">
        <v>0</v>
      </c>
      <c r="L53" s="2"/>
    </row>
    <row r="54" spans="2:12">
      <c r="B54" s="2"/>
      <c r="C54" s="38" t="s">
        <v>95</v>
      </c>
      <c r="D54" s="33"/>
      <c r="E54" s="40" t="s">
        <v>58</v>
      </c>
      <c r="F54" s="40" t="s">
        <v>58</v>
      </c>
      <c r="G54" s="39">
        <v>0</v>
      </c>
      <c r="H54" s="39">
        <v>0</v>
      </c>
      <c r="I54" s="44">
        <v>0</v>
      </c>
      <c r="J54" s="41">
        <v>0</v>
      </c>
      <c r="K54" s="39">
        <v>0</v>
      </c>
      <c r="L54" s="2"/>
    </row>
    <row r="55" spans="2:12">
      <c r="B55" s="2"/>
      <c r="C55" s="38" t="s">
        <v>96</v>
      </c>
      <c r="D55" s="33"/>
      <c r="E55" s="40" t="s">
        <v>58</v>
      </c>
      <c r="F55" s="40" t="s">
        <v>58</v>
      </c>
      <c r="G55" s="39">
        <v>0</v>
      </c>
      <c r="H55" s="39">
        <v>0</v>
      </c>
      <c r="I55" s="44">
        <v>0</v>
      </c>
      <c r="J55" s="41">
        <v>0</v>
      </c>
      <c r="K55" s="39">
        <v>0</v>
      </c>
      <c r="L55" s="2"/>
    </row>
    <row r="56" spans="2:12">
      <c r="B56" s="2"/>
      <c r="C56" s="38" t="s">
        <v>97</v>
      </c>
      <c r="D56" s="33"/>
      <c r="E56" s="40" t="s">
        <v>58</v>
      </c>
      <c r="F56" s="40" t="s">
        <v>58</v>
      </c>
      <c r="G56" s="39">
        <v>0</v>
      </c>
      <c r="H56" s="39">
        <v>0</v>
      </c>
      <c r="I56" s="44">
        <v>0</v>
      </c>
      <c r="J56" s="41">
        <v>0</v>
      </c>
      <c r="K56" s="39">
        <v>0</v>
      </c>
      <c r="L56" s="2"/>
    </row>
    <row r="57" spans="2:12">
      <c r="B57" s="2"/>
      <c r="C57" s="38" t="s">
        <v>98</v>
      </c>
      <c r="D57" s="33"/>
      <c r="E57" s="40" t="s">
        <v>58</v>
      </c>
      <c r="F57" s="40" t="s">
        <v>58</v>
      </c>
      <c r="G57" s="39">
        <v>0</v>
      </c>
      <c r="H57" s="39">
        <v>0</v>
      </c>
      <c r="I57" s="44">
        <v>0</v>
      </c>
      <c r="J57" s="41">
        <v>0</v>
      </c>
      <c r="K57" s="39">
        <v>0</v>
      </c>
      <c r="L57" s="2"/>
    </row>
    <row r="58" spans="2:12">
      <c r="B58" s="2"/>
      <c r="C58" s="38" t="s">
        <v>99</v>
      </c>
      <c r="D58" s="33"/>
      <c r="E58" s="40" t="s">
        <v>58</v>
      </c>
      <c r="F58" s="40" t="s">
        <v>58</v>
      </c>
      <c r="G58" s="39">
        <v>0</v>
      </c>
      <c r="H58" s="39">
        <v>0</v>
      </c>
      <c r="I58" s="44">
        <v>0</v>
      </c>
      <c r="J58" s="41">
        <v>0</v>
      </c>
      <c r="K58" s="39">
        <v>0</v>
      </c>
      <c r="L58" s="2"/>
    </row>
    <row r="59" spans="2:12">
      <c r="B59" s="2"/>
      <c r="C59" s="38" t="s">
        <v>100</v>
      </c>
      <c r="D59" s="33"/>
      <c r="E59" s="40" t="s">
        <v>58</v>
      </c>
      <c r="F59" s="40" t="s">
        <v>58</v>
      </c>
      <c r="G59" s="39">
        <v>0</v>
      </c>
      <c r="H59" s="39">
        <v>0</v>
      </c>
      <c r="I59" s="44">
        <v>0</v>
      </c>
      <c r="J59" s="41">
        <v>0</v>
      </c>
      <c r="K59" s="39">
        <v>0</v>
      </c>
      <c r="L59" s="2"/>
    </row>
    <row r="60" spans="2:12">
      <c r="B60" s="2"/>
      <c r="C60" s="38" t="s">
        <v>101</v>
      </c>
      <c r="D60" s="33"/>
      <c r="E60" s="40" t="s">
        <v>58</v>
      </c>
      <c r="F60" s="40" t="s">
        <v>58</v>
      </c>
      <c r="G60" s="39">
        <v>0</v>
      </c>
      <c r="H60" s="39">
        <v>0</v>
      </c>
      <c r="I60" s="44">
        <v>0</v>
      </c>
      <c r="J60" s="41">
        <v>0</v>
      </c>
      <c r="K60" s="39">
        <v>0</v>
      </c>
      <c r="L60" s="2"/>
    </row>
    <row r="61" spans="2:12">
      <c r="B61" s="2"/>
      <c r="C61" s="38" t="s">
        <v>102</v>
      </c>
      <c r="D61" s="33"/>
      <c r="E61" s="40" t="s">
        <v>58</v>
      </c>
      <c r="F61" s="40" t="s">
        <v>58</v>
      </c>
      <c r="G61" s="39">
        <v>0</v>
      </c>
      <c r="H61" s="39">
        <v>0</v>
      </c>
      <c r="I61" s="44">
        <v>0</v>
      </c>
      <c r="J61" s="41">
        <v>0</v>
      </c>
      <c r="K61" s="39">
        <v>0</v>
      </c>
      <c r="L61" s="2"/>
    </row>
    <row r="62" spans="2:12">
      <c r="B62" s="2"/>
      <c r="C62" s="38" t="s">
        <v>103</v>
      </c>
      <c r="D62" s="33"/>
      <c r="E62" s="40" t="s">
        <v>58</v>
      </c>
      <c r="F62" s="40" t="s">
        <v>58</v>
      </c>
      <c r="G62" s="39">
        <v>0</v>
      </c>
      <c r="H62" s="39">
        <v>0</v>
      </c>
      <c r="I62" s="44">
        <v>0</v>
      </c>
      <c r="J62" s="41">
        <v>0</v>
      </c>
      <c r="K62" s="39">
        <v>0</v>
      </c>
      <c r="L62" s="2"/>
    </row>
    <row r="63" spans="2:12">
      <c r="B63" s="2"/>
      <c r="C63" s="38" t="s">
        <v>104</v>
      </c>
      <c r="D63" s="33"/>
      <c r="E63" s="40" t="s">
        <v>58</v>
      </c>
      <c r="F63" s="40" t="s">
        <v>58</v>
      </c>
      <c r="G63" s="39">
        <v>0</v>
      </c>
      <c r="H63" s="39">
        <v>0</v>
      </c>
      <c r="I63" s="44">
        <v>0</v>
      </c>
      <c r="J63" s="41">
        <v>0</v>
      </c>
      <c r="K63" s="39">
        <v>0</v>
      </c>
      <c r="L63" s="2"/>
    </row>
    <row r="64" spans="2:12">
      <c r="B64" s="2"/>
      <c r="C64" s="38" t="s">
        <v>105</v>
      </c>
      <c r="D64" s="33"/>
      <c r="E64" s="40" t="s">
        <v>58</v>
      </c>
      <c r="F64" s="40" t="s">
        <v>58</v>
      </c>
      <c r="G64" s="39">
        <v>0</v>
      </c>
      <c r="H64" s="39">
        <v>0</v>
      </c>
      <c r="I64" s="44">
        <v>0</v>
      </c>
      <c r="J64" s="41">
        <v>0</v>
      </c>
      <c r="K64" s="39">
        <v>0</v>
      </c>
      <c r="L64" s="2"/>
    </row>
    <row r="65" spans="2:12">
      <c r="B65" s="2"/>
      <c r="C65" s="38" t="s">
        <v>106</v>
      </c>
      <c r="D65" s="33"/>
      <c r="E65" s="40" t="s">
        <v>58</v>
      </c>
      <c r="F65" s="40" t="s">
        <v>58</v>
      </c>
      <c r="G65" s="39">
        <v>0</v>
      </c>
      <c r="H65" s="39">
        <v>0</v>
      </c>
      <c r="I65" s="44">
        <v>0</v>
      </c>
      <c r="J65" s="41">
        <v>0</v>
      </c>
      <c r="K65" s="39">
        <v>0</v>
      </c>
      <c r="L65" s="2"/>
    </row>
    <row r="66" spans="2:12">
      <c r="B66" s="2"/>
      <c r="C66" s="38" t="s">
        <v>107</v>
      </c>
      <c r="D66" s="33"/>
      <c r="E66" s="40" t="s">
        <v>58</v>
      </c>
      <c r="F66" s="40" t="s">
        <v>58</v>
      </c>
      <c r="G66" s="39">
        <v>0</v>
      </c>
      <c r="H66" s="39">
        <v>0</v>
      </c>
      <c r="I66" s="44">
        <v>0</v>
      </c>
      <c r="J66" s="41">
        <v>0</v>
      </c>
      <c r="K66" s="39">
        <v>0</v>
      </c>
      <c r="L66" s="2"/>
    </row>
    <row r="67" spans="2:12">
      <c r="B67" s="2"/>
      <c r="C67" s="38" t="s">
        <v>108</v>
      </c>
      <c r="D67" s="33"/>
      <c r="E67" s="40" t="s">
        <v>58</v>
      </c>
      <c r="F67" s="40" t="s">
        <v>58</v>
      </c>
      <c r="G67" s="39">
        <v>0</v>
      </c>
      <c r="H67" s="39">
        <v>0</v>
      </c>
      <c r="I67" s="44">
        <v>0</v>
      </c>
      <c r="J67" s="41">
        <v>0</v>
      </c>
      <c r="K67" s="39">
        <v>0</v>
      </c>
      <c r="L67" s="2"/>
    </row>
    <row r="68" spans="2:12">
      <c r="B68" s="2"/>
      <c r="C68" s="38" t="s">
        <v>109</v>
      </c>
      <c r="D68" s="33"/>
      <c r="E68" s="40" t="s">
        <v>58</v>
      </c>
      <c r="F68" s="40" t="s">
        <v>58</v>
      </c>
      <c r="G68" s="39">
        <v>0</v>
      </c>
      <c r="H68" s="39">
        <v>0</v>
      </c>
      <c r="I68" s="44">
        <v>0</v>
      </c>
      <c r="J68" s="41">
        <v>0</v>
      </c>
      <c r="K68" s="39">
        <v>0</v>
      </c>
      <c r="L68" s="2"/>
    </row>
    <row r="69" spans="2:12">
      <c r="B69" s="2"/>
      <c r="C69" s="38" t="s">
        <v>110</v>
      </c>
      <c r="D69" s="33"/>
      <c r="E69" s="40" t="s">
        <v>58</v>
      </c>
      <c r="F69" s="40" t="s">
        <v>58</v>
      </c>
      <c r="G69" s="39">
        <v>0</v>
      </c>
      <c r="H69" s="39">
        <v>0</v>
      </c>
      <c r="I69" s="44">
        <v>0</v>
      </c>
      <c r="J69" s="41">
        <v>0</v>
      </c>
      <c r="K69" s="39">
        <v>0</v>
      </c>
      <c r="L69" s="2"/>
    </row>
    <row r="70" spans="2:12">
      <c r="B70" s="2"/>
      <c r="C70" s="38" t="s">
        <v>111</v>
      </c>
      <c r="D70" s="33"/>
      <c r="E70" s="40" t="s">
        <v>58</v>
      </c>
      <c r="F70" s="40" t="s">
        <v>58</v>
      </c>
      <c r="G70" s="39">
        <v>0</v>
      </c>
      <c r="H70" s="39">
        <v>0</v>
      </c>
      <c r="I70" s="44">
        <v>0</v>
      </c>
      <c r="J70" s="41">
        <v>0</v>
      </c>
      <c r="K70" s="39">
        <v>0</v>
      </c>
      <c r="L70" s="2"/>
    </row>
    <row r="71" spans="2:12">
      <c r="B71" s="2"/>
      <c r="C71" s="38" t="s">
        <v>112</v>
      </c>
      <c r="D71" s="33"/>
      <c r="E71" s="40" t="s">
        <v>58</v>
      </c>
      <c r="F71" s="40" t="s">
        <v>58</v>
      </c>
      <c r="G71" s="39">
        <v>0</v>
      </c>
      <c r="H71" s="39">
        <v>0</v>
      </c>
      <c r="I71" s="44">
        <v>0</v>
      </c>
      <c r="J71" s="41">
        <v>0</v>
      </c>
      <c r="K71" s="39">
        <v>0</v>
      </c>
      <c r="L71" s="2"/>
    </row>
    <row r="72" spans="2:12">
      <c r="B72" s="2"/>
      <c r="C72" s="38" t="s">
        <v>113</v>
      </c>
      <c r="D72" s="33"/>
      <c r="E72" s="40" t="s">
        <v>58</v>
      </c>
      <c r="F72" s="40" t="s">
        <v>58</v>
      </c>
      <c r="G72" s="39">
        <v>0</v>
      </c>
      <c r="H72" s="39">
        <v>0</v>
      </c>
      <c r="I72" s="44">
        <v>0</v>
      </c>
      <c r="J72" s="41">
        <v>0</v>
      </c>
      <c r="K72" s="39">
        <v>0</v>
      </c>
      <c r="L72" s="2"/>
    </row>
    <row r="73" spans="2:12">
      <c r="B73" s="2"/>
      <c r="C73" s="38" t="s">
        <v>114</v>
      </c>
      <c r="D73" s="33"/>
      <c r="E73" s="40" t="s">
        <v>58</v>
      </c>
      <c r="F73" s="40" t="s">
        <v>58</v>
      </c>
      <c r="G73" s="39">
        <v>0</v>
      </c>
      <c r="H73" s="39">
        <v>0</v>
      </c>
      <c r="I73" s="44">
        <v>0</v>
      </c>
      <c r="J73" s="41">
        <v>0</v>
      </c>
      <c r="K73" s="39">
        <v>0</v>
      </c>
      <c r="L73" s="2"/>
    </row>
    <row r="74" spans="2:12">
      <c r="B74" s="2"/>
      <c r="C74" s="38" t="s">
        <v>115</v>
      </c>
      <c r="D74" s="33"/>
      <c r="E74" s="40" t="s">
        <v>58</v>
      </c>
      <c r="F74" s="40" t="s">
        <v>58</v>
      </c>
      <c r="G74" s="39">
        <v>0</v>
      </c>
      <c r="H74" s="39">
        <v>0</v>
      </c>
      <c r="I74" s="44">
        <v>0</v>
      </c>
      <c r="J74" s="41">
        <v>0</v>
      </c>
      <c r="K74" s="39">
        <v>0</v>
      </c>
      <c r="L74" s="2"/>
    </row>
    <row r="75" spans="2:12">
      <c r="B75" s="2"/>
      <c r="C75" s="38" t="s">
        <v>116</v>
      </c>
      <c r="D75" s="33"/>
      <c r="E75" s="40" t="s">
        <v>58</v>
      </c>
      <c r="F75" s="40" t="s">
        <v>58</v>
      </c>
      <c r="G75" s="39">
        <v>0</v>
      </c>
      <c r="H75" s="39">
        <v>0</v>
      </c>
      <c r="I75" s="44">
        <v>0</v>
      </c>
      <c r="J75" s="41">
        <v>0</v>
      </c>
      <c r="K75" s="39">
        <v>0</v>
      </c>
      <c r="L75" s="2"/>
    </row>
    <row r="76" spans="2:12">
      <c r="B76" s="2"/>
      <c r="C76" s="38" t="s">
        <v>117</v>
      </c>
      <c r="D76" s="33"/>
      <c r="E76" s="40" t="s">
        <v>58</v>
      </c>
      <c r="F76" s="40" t="s">
        <v>58</v>
      </c>
      <c r="G76" s="39">
        <v>0</v>
      </c>
      <c r="H76" s="39">
        <v>0</v>
      </c>
      <c r="I76" s="44">
        <v>0</v>
      </c>
      <c r="J76" s="41">
        <v>0</v>
      </c>
      <c r="K76" s="39">
        <v>0</v>
      </c>
      <c r="L76" s="2"/>
    </row>
    <row r="77" spans="2:12">
      <c r="B77" s="2"/>
      <c r="C77" s="38" t="s">
        <v>118</v>
      </c>
      <c r="D77" s="33"/>
      <c r="E77" s="40" t="s">
        <v>58</v>
      </c>
      <c r="F77" s="40" t="s">
        <v>58</v>
      </c>
      <c r="G77" s="39">
        <v>0</v>
      </c>
      <c r="H77" s="39">
        <v>0</v>
      </c>
      <c r="I77" s="44">
        <v>0</v>
      </c>
      <c r="J77" s="41">
        <v>0</v>
      </c>
      <c r="K77" s="39">
        <v>0</v>
      </c>
      <c r="L77" s="2"/>
    </row>
    <row r="78" spans="2:12">
      <c r="B78" s="2"/>
      <c r="C78" s="38" t="s">
        <v>119</v>
      </c>
      <c r="D78" s="33"/>
      <c r="E78" s="40" t="s">
        <v>58</v>
      </c>
      <c r="F78" s="40" t="s">
        <v>58</v>
      </c>
      <c r="G78" s="39">
        <v>0</v>
      </c>
      <c r="H78" s="39">
        <v>0</v>
      </c>
      <c r="I78" s="44">
        <v>0</v>
      </c>
      <c r="J78" s="41">
        <v>0</v>
      </c>
      <c r="K78" s="39">
        <v>0</v>
      </c>
      <c r="L78" s="2"/>
    </row>
    <row r="79" spans="2:12">
      <c r="B79" s="2"/>
      <c r="C79" s="38" t="s">
        <v>120</v>
      </c>
      <c r="D79" s="33"/>
      <c r="E79" s="40" t="s">
        <v>58</v>
      </c>
      <c r="F79" s="40" t="s">
        <v>58</v>
      </c>
      <c r="G79" s="39">
        <v>0</v>
      </c>
      <c r="H79" s="39">
        <v>0</v>
      </c>
      <c r="I79" s="44">
        <v>0</v>
      </c>
      <c r="J79" s="41">
        <v>0</v>
      </c>
      <c r="K79" s="39">
        <v>0</v>
      </c>
      <c r="L79" s="2"/>
    </row>
    <row r="80" spans="2:12">
      <c r="B80" s="2"/>
      <c r="C80" s="38" t="s">
        <v>121</v>
      </c>
      <c r="D80" s="33"/>
      <c r="E80" s="40" t="s">
        <v>58</v>
      </c>
      <c r="F80" s="40" t="s">
        <v>58</v>
      </c>
      <c r="G80" s="39">
        <v>0</v>
      </c>
      <c r="H80" s="39">
        <v>0</v>
      </c>
      <c r="I80" s="44">
        <v>0</v>
      </c>
      <c r="J80" s="41">
        <v>0</v>
      </c>
      <c r="K80" s="39">
        <v>0</v>
      </c>
      <c r="L80" s="2"/>
    </row>
    <row r="81" spans="2:12">
      <c r="B81" s="2"/>
      <c r="C81" s="38" t="s">
        <v>122</v>
      </c>
      <c r="D81" s="33"/>
      <c r="E81" s="40" t="s">
        <v>58</v>
      </c>
      <c r="F81" s="40" t="s">
        <v>58</v>
      </c>
      <c r="G81" s="39">
        <v>0</v>
      </c>
      <c r="H81" s="39">
        <v>0</v>
      </c>
      <c r="I81" s="44">
        <v>0</v>
      </c>
      <c r="J81" s="41">
        <v>0</v>
      </c>
      <c r="K81" s="39">
        <v>0</v>
      </c>
      <c r="L81" s="2"/>
    </row>
    <row r="82" spans="2:12">
      <c r="B82" s="2"/>
      <c r="C82" s="38" t="s">
        <v>123</v>
      </c>
      <c r="D82" s="33"/>
      <c r="E82" s="40" t="s">
        <v>58</v>
      </c>
      <c r="F82" s="40" t="s">
        <v>58</v>
      </c>
      <c r="G82" s="39">
        <v>0</v>
      </c>
      <c r="H82" s="39">
        <v>0</v>
      </c>
      <c r="I82" s="44">
        <v>0</v>
      </c>
      <c r="J82" s="41">
        <v>0</v>
      </c>
      <c r="K82" s="39">
        <v>0</v>
      </c>
      <c r="L82" s="2"/>
    </row>
    <row r="83" spans="2:12">
      <c r="B83" s="2"/>
      <c r="C83" s="38" t="s">
        <v>124</v>
      </c>
      <c r="D83" s="33"/>
      <c r="E83" s="40" t="s">
        <v>58</v>
      </c>
      <c r="F83" s="40" t="s">
        <v>58</v>
      </c>
      <c r="G83" s="39">
        <v>0</v>
      </c>
      <c r="H83" s="39">
        <v>0</v>
      </c>
      <c r="I83" s="44">
        <v>0</v>
      </c>
      <c r="J83" s="41">
        <v>0</v>
      </c>
      <c r="K83" s="39">
        <v>0</v>
      </c>
      <c r="L83" s="2"/>
    </row>
    <row r="84" spans="2:12">
      <c r="B84" s="2"/>
      <c r="C84" s="38" t="s">
        <v>125</v>
      </c>
      <c r="D84" s="33"/>
      <c r="E84" s="40" t="s">
        <v>58</v>
      </c>
      <c r="F84" s="40" t="s">
        <v>58</v>
      </c>
      <c r="G84" s="39">
        <v>0</v>
      </c>
      <c r="H84" s="39">
        <v>0</v>
      </c>
      <c r="I84" s="44">
        <v>0</v>
      </c>
      <c r="J84" s="41">
        <v>0</v>
      </c>
      <c r="K84" s="39">
        <v>0</v>
      </c>
      <c r="L84" s="2"/>
    </row>
    <row r="85" spans="2:12">
      <c r="B85" s="2"/>
      <c r="C85" s="38" t="s">
        <v>126</v>
      </c>
      <c r="D85" s="33"/>
      <c r="E85" s="40" t="s">
        <v>58</v>
      </c>
      <c r="F85" s="40" t="s">
        <v>58</v>
      </c>
      <c r="G85" s="39">
        <v>0</v>
      </c>
      <c r="H85" s="39">
        <v>0</v>
      </c>
      <c r="I85" s="44">
        <v>0</v>
      </c>
      <c r="J85" s="41">
        <v>0</v>
      </c>
      <c r="K85" s="39">
        <v>0</v>
      </c>
      <c r="L85" s="2"/>
    </row>
    <row r="86" spans="2:12">
      <c r="B86" s="2"/>
      <c r="C86" s="38" t="s">
        <v>127</v>
      </c>
      <c r="D86" s="33"/>
      <c r="E86" s="40" t="s">
        <v>58</v>
      </c>
      <c r="F86" s="40" t="s">
        <v>58</v>
      </c>
      <c r="G86" s="39">
        <v>0</v>
      </c>
      <c r="H86" s="39">
        <v>0</v>
      </c>
      <c r="I86" s="44">
        <v>0</v>
      </c>
      <c r="J86" s="41">
        <v>0</v>
      </c>
      <c r="K86" s="39">
        <v>0</v>
      </c>
      <c r="L86" s="2"/>
    </row>
    <row r="87" spans="2:12">
      <c r="B87" s="2"/>
      <c r="C87" s="38" t="s">
        <v>128</v>
      </c>
      <c r="D87" s="33"/>
      <c r="E87" s="40" t="s">
        <v>58</v>
      </c>
      <c r="F87" s="40" t="s">
        <v>58</v>
      </c>
      <c r="G87" s="39">
        <v>0</v>
      </c>
      <c r="H87" s="39">
        <v>0</v>
      </c>
      <c r="I87" s="44">
        <v>0</v>
      </c>
      <c r="J87" s="41">
        <v>0</v>
      </c>
      <c r="K87" s="39">
        <v>0</v>
      </c>
      <c r="L87" s="2"/>
    </row>
    <row r="88" spans="2:12">
      <c r="B88" s="2"/>
      <c r="C88" s="38" t="s">
        <v>129</v>
      </c>
      <c r="D88" s="33"/>
      <c r="E88" s="40" t="s">
        <v>58</v>
      </c>
      <c r="F88" s="40" t="s">
        <v>58</v>
      </c>
      <c r="G88" s="39">
        <v>0</v>
      </c>
      <c r="H88" s="39">
        <v>0</v>
      </c>
      <c r="I88" s="44">
        <v>0</v>
      </c>
      <c r="J88" s="41">
        <v>0</v>
      </c>
      <c r="K88" s="39">
        <v>0</v>
      </c>
      <c r="L88" s="2"/>
    </row>
    <row r="89" spans="2:12">
      <c r="B89" s="2"/>
      <c r="C89" s="38" t="s">
        <v>130</v>
      </c>
      <c r="D89" s="33"/>
      <c r="E89" s="40" t="s">
        <v>58</v>
      </c>
      <c r="F89" s="40" t="s">
        <v>58</v>
      </c>
      <c r="G89" s="39">
        <v>0</v>
      </c>
      <c r="H89" s="39">
        <v>0</v>
      </c>
      <c r="I89" s="44">
        <v>0</v>
      </c>
      <c r="J89" s="41">
        <v>0</v>
      </c>
      <c r="K89" s="39">
        <v>0</v>
      </c>
      <c r="L89" s="2"/>
    </row>
    <row r="90" spans="2:12">
      <c r="B90" s="2"/>
      <c r="C90" s="38" t="s">
        <v>131</v>
      </c>
      <c r="D90" s="33"/>
      <c r="E90" s="40" t="s">
        <v>58</v>
      </c>
      <c r="F90" s="40" t="s">
        <v>58</v>
      </c>
      <c r="G90" s="39">
        <v>0</v>
      </c>
      <c r="H90" s="39">
        <v>0</v>
      </c>
      <c r="I90" s="44">
        <v>0</v>
      </c>
      <c r="J90" s="41">
        <v>0</v>
      </c>
      <c r="K90" s="39">
        <v>0</v>
      </c>
      <c r="L90" s="2"/>
    </row>
    <row r="91" spans="2:12">
      <c r="B91" s="2"/>
      <c r="C91" s="38" t="s">
        <v>132</v>
      </c>
      <c r="D91" s="33"/>
      <c r="E91" s="40" t="s">
        <v>58</v>
      </c>
      <c r="F91" s="40" t="s">
        <v>58</v>
      </c>
      <c r="G91" s="39">
        <v>0</v>
      </c>
      <c r="H91" s="39">
        <v>0</v>
      </c>
      <c r="I91" s="44">
        <v>0</v>
      </c>
      <c r="J91" s="41">
        <v>0</v>
      </c>
      <c r="K91" s="39">
        <v>0</v>
      </c>
      <c r="L91" s="2"/>
    </row>
    <row r="92" spans="2:12">
      <c r="B92" s="2"/>
      <c r="C92" s="38" t="s">
        <v>133</v>
      </c>
      <c r="D92" s="33"/>
      <c r="E92" s="40" t="s">
        <v>58</v>
      </c>
      <c r="F92" s="40" t="s">
        <v>58</v>
      </c>
      <c r="G92" s="39">
        <v>0</v>
      </c>
      <c r="H92" s="39">
        <v>0</v>
      </c>
      <c r="I92" s="44">
        <v>0</v>
      </c>
      <c r="J92" s="41">
        <v>0</v>
      </c>
      <c r="K92" s="39">
        <v>0</v>
      </c>
      <c r="L92" s="2"/>
    </row>
    <row r="93" spans="2:12">
      <c r="B93" s="2"/>
      <c r="C93" s="38" t="s">
        <v>134</v>
      </c>
      <c r="D93" s="33"/>
      <c r="E93" s="40" t="s">
        <v>58</v>
      </c>
      <c r="F93" s="40" t="s">
        <v>58</v>
      </c>
      <c r="G93" s="39">
        <v>0</v>
      </c>
      <c r="H93" s="39">
        <v>0</v>
      </c>
      <c r="I93" s="44">
        <v>0</v>
      </c>
      <c r="J93" s="41">
        <v>0</v>
      </c>
      <c r="K93" s="39">
        <v>0</v>
      </c>
      <c r="L93" s="2"/>
    </row>
    <row r="94" spans="2:12">
      <c r="B94" s="2"/>
      <c r="C94" s="38" t="s">
        <v>135</v>
      </c>
      <c r="D94" s="33"/>
      <c r="E94" s="40" t="s">
        <v>58</v>
      </c>
      <c r="F94" s="40" t="s">
        <v>58</v>
      </c>
      <c r="G94" s="39">
        <v>0</v>
      </c>
      <c r="H94" s="39">
        <v>0</v>
      </c>
      <c r="I94" s="44">
        <v>0</v>
      </c>
      <c r="J94" s="41">
        <v>0</v>
      </c>
      <c r="K94" s="39">
        <v>0</v>
      </c>
      <c r="L94" s="2"/>
    </row>
    <row r="95" spans="2:12">
      <c r="B95" s="2"/>
      <c r="C95" s="38" t="s">
        <v>136</v>
      </c>
      <c r="D95" s="33"/>
      <c r="E95" s="40" t="s">
        <v>58</v>
      </c>
      <c r="F95" s="40" t="s">
        <v>58</v>
      </c>
      <c r="G95" s="39">
        <v>0</v>
      </c>
      <c r="H95" s="39">
        <v>0</v>
      </c>
      <c r="I95" s="44">
        <v>0</v>
      </c>
      <c r="J95" s="41">
        <v>0</v>
      </c>
      <c r="K95" s="39">
        <v>0</v>
      </c>
      <c r="L95" s="2"/>
    </row>
    <row r="96" spans="2:12">
      <c r="B96" s="2"/>
      <c r="C96" s="38" t="s">
        <v>137</v>
      </c>
      <c r="D96" s="33"/>
      <c r="E96" s="40" t="s">
        <v>58</v>
      </c>
      <c r="F96" s="40" t="s">
        <v>58</v>
      </c>
      <c r="G96" s="39">
        <v>0</v>
      </c>
      <c r="H96" s="39">
        <v>0</v>
      </c>
      <c r="I96" s="44">
        <v>0</v>
      </c>
      <c r="J96" s="41">
        <v>0</v>
      </c>
      <c r="K96" s="39">
        <v>0</v>
      </c>
      <c r="L96" s="2"/>
    </row>
    <row r="97" spans="2:12">
      <c r="B97" s="2"/>
      <c r="C97" s="38" t="s">
        <v>138</v>
      </c>
      <c r="D97" s="33"/>
      <c r="E97" s="40" t="s">
        <v>58</v>
      </c>
      <c r="F97" s="40" t="s">
        <v>58</v>
      </c>
      <c r="G97" s="39">
        <v>0</v>
      </c>
      <c r="H97" s="39">
        <v>0</v>
      </c>
      <c r="I97" s="44">
        <v>0</v>
      </c>
      <c r="J97" s="41">
        <v>0</v>
      </c>
      <c r="K97" s="39">
        <v>0</v>
      </c>
      <c r="L97" s="2"/>
    </row>
    <row r="98" spans="2:12">
      <c r="B98" s="2"/>
      <c r="C98" s="38" t="s">
        <v>139</v>
      </c>
      <c r="D98" s="33"/>
      <c r="E98" s="40" t="s">
        <v>58</v>
      </c>
      <c r="F98" s="40" t="s">
        <v>58</v>
      </c>
      <c r="G98" s="39">
        <v>0</v>
      </c>
      <c r="H98" s="39">
        <v>0</v>
      </c>
      <c r="I98" s="44">
        <v>0</v>
      </c>
      <c r="J98" s="41">
        <v>0</v>
      </c>
      <c r="K98" s="39">
        <v>0</v>
      </c>
      <c r="L98" s="2"/>
    </row>
    <row r="99" spans="2:12">
      <c r="B99" s="2"/>
      <c r="C99" s="38" t="s">
        <v>140</v>
      </c>
      <c r="D99" s="33"/>
      <c r="E99" s="40" t="s">
        <v>58</v>
      </c>
      <c r="F99" s="40" t="s">
        <v>58</v>
      </c>
      <c r="G99" s="39">
        <v>0</v>
      </c>
      <c r="H99" s="39">
        <v>0</v>
      </c>
      <c r="I99" s="44">
        <v>0</v>
      </c>
      <c r="J99" s="41">
        <v>0</v>
      </c>
      <c r="K99" s="39">
        <v>0</v>
      </c>
      <c r="L99" s="2"/>
    </row>
    <row r="100" spans="2:12">
      <c r="B100" s="2"/>
      <c r="C100" s="38" t="s">
        <v>141</v>
      </c>
      <c r="D100" s="33"/>
      <c r="E100" s="40" t="s">
        <v>58</v>
      </c>
      <c r="F100" s="40" t="s">
        <v>58</v>
      </c>
      <c r="G100" s="39">
        <v>0</v>
      </c>
      <c r="H100" s="39">
        <v>0</v>
      </c>
      <c r="I100" s="44">
        <v>0</v>
      </c>
      <c r="J100" s="41">
        <v>0</v>
      </c>
      <c r="K100" s="39">
        <v>0</v>
      </c>
      <c r="L100" s="2"/>
    </row>
    <row r="101" spans="2:12">
      <c r="B101" s="2"/>
      <c r="C101" s="38" t="s">
        <v>142</v>
      </c>
      <c r="D101" s="33"/>
      <c r="E101" s="40" t="s">
        <v>58</v>
      </c>
      <c r="F101" s="40" t="s">
        <v>58</v>
      </c>
      <c r="G101" s="39">
        <v>0</v>
      </c>
      <c r="H101" s="39">
        <v>0</v>
      </c>
      <c r="I101" s="44">
        <v>0</v>
      </c>
      <c r="J101" s="41">
        <v>0</v>
      </c>
      <c r="K101" s="39">
        <v>0</v>
      </c>
      <c r="L101" s="2"/>
    </row>
    <row r="102" spans="2:12">
      <c r="B102" s="2"/>
      <c r="C102" s="38" t="s">
        <v>143</v>
      </c>
      <c r="D102" s="33"/>
      <c r="E102" s="40" t="s">
        <v>58</v>
      </c>
      <c r="F102" s="40" t="s">
        <v>58</v>
      </c>
      <c r="G102" s="39">
        <v>0</v>
      </c>
      <c r="H102" s="39">
        <v>0</v>
      </c>
      <c r="I102" s="44">
        <v>0</v>
      </c>
      <c r="J102" s="41">
        <v>0</v>
      </c>
      <c r="K102" s="39">
        <v>0</v>
      </c>
      <c r="L102" s="2"/>
    </row>
    <row r="103" spans="2:12">
      <c r="B103" s="2"/>
      <c r="C103" s="38" t="s">
        <v>144</v>
      </c>
      <c r="D103" s="33"/>
      <c r="E103" s="40" t="s">
        <v>58</v>
      </c>
      <c r="F103" s="40" t="s">
        <v>58</v>
      </c>
      <c r="G103" s="39">
        <v>0</v>
      </c>
      <c r="H103" s="39">
        <v>0</v>
      </c>
      <c r="I103" s="44">
        <v>0</v>
      </c>
      <c r="J103" s="41">
        <v>0</v>
      </c>
      <c r="K103" s="39">
        <v>0</v>
      </c>
      <c r="L103" s="2"/>
    </row>
    <row r="104" spans="2:12">
      <c r="B104" s="2"/>
      <c r="C104" s="38" t="s">
        <v>145</v>
      </c>
      <c r="D104" s="33"/>
      <c r="E104" s="40" t="s">
        <v>58</v>
      </c>
      <c r="F104" s="40" t="s">
        <v>58</v>
      </c>
      <c r="G104" s="39">
        <v>0</v>
      </c>
      <c r="H104" s="39">
        <v>0</v>
      </c>
      <c r="I104" s="44">
        <v>0</v>
      </c>
      <c r="J104" s="41">
        <v>0</v>
      </c>
      <c r="K104" s="39">
        <v>0</v>
      </c>
      <c r="L104" s="2"/>
    </row>
    <row r="105" spans="2:12">
      <c r="B105" s="2"/>
      <c r="C105" s="38" t="s">
        <v>146</v>
      </c>
      <c r="D105" s="33"/>
      <c r="E105" s="40" t="s">
        <v>58</v>
      </c>
      <c r="F105" s="40" t="s">
        <v>58</v>
      </c>
      <c r="G105" s="39">
        <v>0</v>
      </c>
      <c r="H105" s="39">
        <v>0</v>
      </c>
      <c r="I105" s="44">
        <v>0</v>
      </c>
      <c r="J105" s="41">
        <v>0</v>
      </c>
      <c r="K105" s="39">
        <v>0</v>
      </c>
      <c r="L105" s="2"/>
    </row>
    <row r="106" spans="2:12">
      <c r="B106" s="2"/>
      <c r="C106" s="38" t="s">
        <v>147</v>
      </c>
      <c r="D106" s="33"/>
      <c r="E106" s="40" t="s">
        <v>58</v>
      </c>
      <c r="F106" s="40" t="s">
        <v>58</v>
      </c>
      <c r="G106" s="39">
        <v>0</v>
      </c>
      <c r="H106" s="39">
        <v>0</v>
      </c>
      <c r="I106" s="44">
        <v>0</v>
      </c>
      <c r="J106" s="41">
        <v>0</v>
      </c>
      <c r="K106" s="39">
        <v>0</v>
      </c>
      <c r="L106" s="2"/>
    </row>
    <row r="107" spans="2:12">
      <c r="B107" s="2"/>
      <c r="C107" s="38" t="s">
        <v>148</v>
      </c>
      <c r="D107" s="33"/>
      <c r="E107" s="40" t="s">
        <v>58</v>
      </c>
      <c r="F107" s="40" t="s">
        <v>58</v>
      </c>
      <c r="G107" s="39">
        <v>0</v>
      </c>
      <c r="H107" s="39">
        <v>0</v>
      </c>
      <c r="I107" s="44">
        <v>0</v>
      </c>
      <c r="J107" s="41">
        <v>0</v>
      </c>
      <c r="K107" s="39">
        <v>0</v>
      </c>
      <c r="L107" s="2"/>
    </row>
    <row r="108" spans="2:12">
      <c r="B108" s="2"/>
      <c r="C108" s="38" t="s">
        <v>149</v>
      </c>
      <c r="D108" s="33"/>
      <c r="E108" s="40" t="s">
        <v>58</v>
      </c>
      <c r="F108" s="40" t="s">
        <v>58</v>
      </c>
      <c r="G108" s="39">
        <v>0</v>
      </c>
      <c r="H108" s="39">
        <v>0</v>
      </c>
      <c r="I108" s="44">
        <v>0</v>
      </c>
      <c r="J108" s="41">
        <v>0</v>
      </c>
      <c r="K108" s="39">
        <v>0</v>
      </c>
      <c r="L108" s="2"/>
    </row>
    <row r="109" spans="2:12">
      <c r="B109" s="2"/>
      <c r="C109" s="38" t="s">
        <v>150</v>
      </c>
      <c r="D109" s="33"/>
      <c r="E109" s="40" t="s">
        <v>58</v>
      </c>
      <c r="F109" s="40" t="s">
        <v>58</v>
      </c>
      <c r="G109" s="39">
        <v>0</v>
      </c>
      <c r="H109" s="39">
        <v>0</v>
      </c>
      <c r="I109" s="44">
        <v>0</v>
      </c>
      <c r="J109" s="41">
        <v>0</v>
      </c>
      <c r="K109" s="39">
        <v>0</v>
      </c>
      <c r="L109" s="2"/>
    </row>
    <row r="110" spans="2:12">
      <c r="B110" s="2"/>
      <c r="C110" s="38" t="s">
        <v>151</v>
      </c>
      <c r="D110" s="33"/>
      <c r="E110" s="40" t="s">
        <v>58</v>
      </c>
      <c r="F110" s="40" t="s">
        <v>58</v>
      </c>
      <c r="G110" s="39">
        <v>0</v>
      </c>
      <c r="H110" s="39">
        <v>0</v>
      </c>
      <c r="I110" s="44">
        <v>0</v>
      </c>
      <c r="J110" s="41">
        <v>0</v>
      </c>
      <c r="K110" s="39">
        <v>0</v>
      </c>
      <c r="L110" s="2"/>
    </row>
    <row r="111" spans="2:12">
      <c r="B111" s="2"/>
      <c r="C111" s="38" t="s">
        <v>152</v>
      </c>
      <c r="D111" s="33"/>
      <c r="E111" s="40" t="s">
        <v>58</v>
      </c>
      <c r="F111" s="40" t="s">
        <v>58</v>
      </c>
      <c r="G111" s="39">
        <v>0</v>
      </c>
      <c r="H111" s="39">
        <v>0</v>
      </c>
      <c r="I111" s="44">
        <v>0</v>
      </c>
      <c r="J111" s="41">
        <v>0</v>
      </c>
      <c r="K111" s="39">
        <v>0</v>
      </c>
      <c r="L111" s="2"/>
    </row>
    <row r="112" spans="2:12">
      <c r="B112" s="2"/>
      <c r="C112" s="38" t="s">
        <v>153</v>
      </c>
      <c r="D112" s="33"/>
      <c r="E112" s="40" t="s">
        <v>58</v>
      </c>
      <c r="F112" s="40" t="s">
        <v>58</v>
      </c>
      <c r="G112" s="39">
        <v>0</v>
      </c>
      <c r="H112" s="39">
        <v>0</v>
      </c>
      <c r="I112" s="44">
        <v>0</v>
      </c>
      <c r="J112" s="41">
        <v>0</v>
      </c>
      <c r="K112" s="39">
        <v>0</v>
      </c>
      <c r="L112" s="2"/>
    </row>
    <row r="113" spans="1:12">
      <c r="B113" s="2"/>
      <c r="C113" s="38" t="s">
        <v>154</v>
      </c>
      <c r="D113" s="33"/>
      <c r="E113" s="40" t="s">
        <v>58</v>
      </c>
      <c r="F113" s="40" t="s">
        <v>58</v>
      </c>
      <c r="G113" s="39">
        <v>0</v>
      </c>
      <c r="H113" s="39">
        <v>0</v>
      </c>
      <c r="I113" s="44">
        <v>0</v>
      </c>
      <c r="J113" s="41">
        <v>0</v>
      </c>
      <c r="K113" s="39">
        <v>0</v>
      </c>
      <c r="L113" s="2"/>
    </row>
    <row r="114" spans="1:12" s="16" customFormat="1">
      <c r="B114" s="5"/>
      <c r="C114" s="42" t="s">
        <v>155</v>
      </c>
      <c r="D114" s="43"/>
      <c r="E114" s="40" t="s">
        <v>58</v>
      </c>
      <c r="F114" s="40" t="s">
        <v>58</v>
      </c>
      <c r="G114" s="39">
        <v>0</v>
      </c>
      <c r="H114" s="39">
        <v>0</v>
      </c>
      <c r="I114" s="44">
        <v>0</v>
      </c>
      <c r="J114" s="41">
        <v>0</v>
      </c>
      <c r="K114" s="39">
        <v>0</v>
      </c>
      <c r="L114" s="5"/>
    </row>
    <row r="115" spans="1:12" s="16" customFormat="1">
      <c r="A115" s="19" t="s">
        <v>156</v>
      </c>
      <c r="B115" s="5"/>
      <c r="C115" s="42" t="s">
        <v>157</v>
      </c>
      <c r="D115" s="43"/>
      <c r="E115" s="40" t="s">
        <v>58</v>
      </c>
      <c r="F115" s="40" t="s">
        <v>58</v>
      </c>
      <c r="G115" s="39">
        <v>0</v>
      </c>
      <c r="H115" s="39">
        <v>0</v>
      </c>
      <c r="I115" s="44">
        <v>0</v>
      </c>
      <c r="J115" s="41">
        <v>0</v>
      </c>
      <c r="K115" s="39">
        <v>0</v>
      </c>
      <c r="L115" s="5"/>
    </row>
    <row r="116" spans="1:12">
      <c r="A116" s="20" t="s">
        <v>158</v>
      </c>
      <c r="B116" s="2"/>
      <c r="C116" s="38" t="s">
        <v>55</v>
      </c>
      <c r="D116" s="33"/>
      <c r="E116" s="15" t="str">
        <f>""</f>
        <v/>
      </c>
      <c r="F116" s="15" t="str">
        <f>""</f>
        <v/>
      </c>
      <c r="G116" s="13" t="str">
        <f>""</f>
        <v/>
      </c>
      <c r="H116" s="13" t="str">
        <f>""</f>
        <v/>
      </c>
      <c r="I116" s="21" t="str">
        <f>""</f>
        <v/>
      </c>
      <c r="J116" s="14" t="str">
        <f>""</f>
        <v/>
      </c>
      <c r="K116" s="13">
        <f>SUM(K16:K115)</f>
        <v>0</v>
      </c>
      <c r="L116" s="2"/>
    </row>
    <row r="117" spans="1:1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5.0999999999999996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</sheetData>
  <sheetProtection algorithmName="SHA-512" hashValue="XXMVOQ0t7J03IxZwa+RiYFEY3fuxhk8dyfb84z49bknKQ0njNEL9yQF8DNqZAOdQR6JZ9yS9IcupxviycwDlxQ==" saltValue="LSNewM34nhI+5hM38fIU2Q==" spinCount="100000" sheet="1" formatColumns="0" formatRows="0" insertRows="0" deleteRows="0" selectLockedCells="1"/>
  <mergeCells count="815">
    <mergeCell ref="C116:D116"/>
    <mergeCell ref="I114"/>
    <mergeCell ref="J114"/>
    <mergeCell ref="K114"/>
    <mergeCell ref="C115:D115"/>
    <mergeCell ref="E115"/>
    <mergeCell ref="F115"/>
    <mergeCell ref="G115"/>
    <mergeCell ref="H115"/>
    <mergeCell ref="I115"/>
    <mergeCell ref="J115"/>
    <mergeCell ref="K115"/>
    <mergeCell ref="C114:D114"/>
    <mergeCell ref="E114"/>
    <mergeCell ref="F114"/>
    <mergeCell ref="G114"/>
    <mergeCell ref="H114"/>
    <mergeCell ref="I112"/>
    <mergeCell ref="J112"/>
    <mergeCell ref="K112"/>
    <mergeCell ref="C113:D113"/>
    <mergeCell ref="E113"/>
    <mergeCell ref="F113"/>
    <mergeCell ref="G113"/>
    <mergeCell ref="H113"/>
    <mergeCell ref="I113"/>
    <mergeCell ref="J113"/>
    <mergeCell ref="K113"/>
    <mergeCell ref="C112:D112"/>
    <mergeCell ref="E112"/>
    <mergeCell ref="F112"/>
    <mergeCell ref="G112"/>
    <mergeCell ref="H112"/>
    <mergeCell ref="I110"/>
    <mergeCell ref="J110"/>
    <mergeCell ref="K110"/>
    <mergeCell ref="C111:D111"/>
    <mergeCell ref="E111"/>
    <mergeCell ref="F111"/>
    <mergeCell ref="G111"/>
    <mergeCell ref="H111"/>
    <mergeCell ref="I111"/>
    <mergeCell ref="J111"/>
    <mergeCell ref="K111"/>
    <mergeCell ref="C110:D110"/>
    <mergeCell ref="E110"/>
    <mergeCell ref="F110"/>
    <mergeCell ref="G110"/>
    <mergeCell ref="H110"/>
    <mergeCell ref="I108"/>
    <mergeCell ref="J108"/>
    <mergeCell ref="K108"/>
    <mergeCell ref="C109:D109"/>
    <mergeCell ref="E109"/>
    <mergeCell ref="F109"/>
    <mergeCell ref="G109"/>
    <mergeCell ref="H109"/>
    <mergeCell ref="I109"/>
    <mergeCell ref="J109"/>
    <mergeCell ref="K109"/>
    <mergeCell ref="C108:D108"/>
    <mergeCell ref="E108"/>
    <mergeCell ref="F108"/>
    <mergeCell ref="G108"/>
    <mergeCell ref="H108"/>
    <mergeCell ref="I106"/>
    <mergeCell ref="J106"/>
    <mergeCell ref="K106"/>
    <mergeCell ref="C107:D107"/>
    <mergeCell ref="E107"/>
    <mergeCell ref="F107"/>
    <mergeCell ref="G107"/>
    <mergeCell ref="H107"/>
    <mergeCell ref="I107"/>
    <mergeCell ref="J107"/>
    <mergeCell ref="K107"/>
    <mergeCell ref="C106:D106"/>
    <mergeCell ref="E106"/>
    <mergeCell ref="F106"/>
    <mergeCell ref="G106"/>
    <mergeCell ref="H106"/>
    <mergeCell ref="I104"/>
    <mergeCell ref="J104"/>
    <mergeCell ref="K104"/>
    <mergeCell ref="C105:D105"/>
    <mergeCell ref="E105"/>
    <mergeCell ref="F105"/>
    <mergeCell ref="G105"/>
    <mergeCell ref="H105"/>
    <mergeCell ref="I105"/>
    <mergeCell ref="J105"/>
    <mergeCell ref="K105"/>
    <mergeCell ref="C104:D104"/>
    <mergeCell ref="E104"/>
    <mergeCell ref="F104"/>
    <mergeCell ref="G104"/>
    <mergeCell ref="H104"/>
    <mergeCell ref="I102"/>
    <mergeCell ref="J102"/>
    <mergeCell ref="K102"/>
    <mergeCell ref="C103:D103"/>
    <mergeCell ref="E103"/>
    <mergeCell ref="F103"/>
    <mergeCell ref="G103"/>
    <mergeCell ref="H103"/>
    <mergeCell ref="I103"/>
    <mergeCell ref="J103"/>
    <mergeCell ref="K103"/>
    <mergeCell ref="C102:D102"/>
    <mergeCell ref="E102"/>
    <mergeCell ref="F102"/>
    <mergeCell ref="G102"/>
    <mergeCell ref="H102"/>
    <mergeCell ref="I100"/>
    <mergeCell ref="J100"/>
    <mergeCell ref="K100"/>
    <mergeCell ref="C101:D101"/>
    <mergeCell ref="E101"/>
    <mergeCell ref="F101"/>
    <mergeCell ref="G101"/>
    <mergeCell ref="H101"/>
    <mergeCell ref="I101"/>
    <mergeCell ref="J101"/>
    <mergeCell ref="K101"/>
    <mergeCell ref="C100:D100"/>
    <mergeCell ref="E100"/>
    <mergeCell ref="F100"/>
    <mergeCell ref="G100"/>
    <mergeCell ref="H100"/>
    <mergeCell ref="I98"/>
    <mergeCell ref="J98"/>
    <mergeCell ref="K98"/>
    <mergeCell ref="C99:D99"/>
    <mergeCell ref="E99"/>
    <mergeCell ref="F99"/>
    <mergeCell ref="G99"/>
    <mergeCell ref="H99"/>
    <mergeCell ref="I99"/>
    <mergeCell ref="J99"/>
    <mergeCell ref="K99"/>
    <mergeCell ref="C98:D98"/>
    <mergeCell ref="E98"/>
    <mergeCell ref="F98"/>
    <mergeCell ref="G98"/>
    <mergeCell ref="H98"/>
    <mergeCell ref="I96"/>
    <mergeCell ref="J96"/>
    <mergeCell ref="K96"/>
    <mergeCell ref="C97:D97"/>
    <mergeCell ref="E97"/>
    <mergeCell ref="F97"/>
    <mergeCell ref="G97"/>
    <mergeCell ref="H97"/>
    <mergeCell ref="I97"/>
    <mergeCell ref="J97"/>
    <mergeCell ref="K97"/>
    <mergeCell ref="C96:D96"/>
    <mergeCell ref="E96"/>
    <mergeCell ref="F96"/>
    <mergeCell ref="G96"/>
    <mergeCell ref="H96"/>
    <mergeCell ref="I94"/>
    <mergeCell ref="J94"/>
    <mergeCell ref="K94"/>
    <mergeCell ref="C95:D95"/>
    <mergeCell ref="E95"/>
    <mergeCell ref="F95"/>
    <mergeCell ref="G95"/>
    <mergeCell ref="H95"/>
    <mergeCell ref="I95"/>
    <mergeCell ref="J95"/>
    <mergeCell ref="K95"/>
    <mergeCell ref="C94:D94"/>
    <mergeCell ref="E94"/>
    <mergeCell ref="F94"/>
    <mergeCell ref="G94"/>
    <mergeCell ref="H94"/>
    <mergeCell ref="I92"/>
    <mergeCell ref="J92"/>
    <mergeCell ref="K92"/>
    <mergeCell ref="C93:D93"/>
    <mergeCell ref="E93"/>
    <mergeCell ref="F93"/>
    <mergeCell ref="G93"/>
    <mergeCell ref="H93"/>
    <mergeCell ref="I93"/>
    <mergeCell ref="J93"/>
    <mergeCell ref="K93"/>
    <mergeCell ref="C92:D92"/>
    <mergeCell ref="E92"/>
    <mergeCell ref="F92"/>
    <mergeCell ref="G92"/>
    <mergeCell ref="H92"/>
    <mergeCell ref="I90"/>
    <mergeCell ref="J90"/>
    <mergeCell ref="K90"/>
    <mergeCell ref="C91:D91"/>
    <mergeCell ref="E91"/>
    <mergeCell ref="F91"/>
    <mergeCell ref="G91"/>
    <mergeCell ref="H91"/>
    <mergeCell ref="I91"/>
    <mergeCell ref="J91"/>
    <mergeCell ref="K91"/>
    <mergeCell ref="C90:D90"/>
    <mergeCell ref="E90"/>
    <mergeCell ref="F90"/>
    <mergeCell ref="G90"/>
    <mergeCell ref="H90"/>
    <mergeCell ref="I88"/>
    <mergeCell ref="J88"/>
    <mergeCell ref="K88"/>
    <mergeCell ref="C89:D89"/>
    <mergeCell ref="E89"/>
    <mergeCell ref="F89"/>
    <mergeCell ref="G89"/>
    <mergeCell ref="H89"/>
    <mergeCell ref="I89"/>
    <mergeCell ref="J89"/>
    <mergeCell ref="K89"/>
    <mergeCell ref="C88:D88"/>
    <mergeCell ref="E88"/>
    <mergeCell ref="F88"/>
    <mergeCell ref="G88"/>
    <mergeCell ref="H88"/>
    <mergeCell ref="I86"/>
    <mergeCell ref="J86"/>
    <mergeCell ref="K86"/>
    <mergeCell ref="C87:D87"/>
    <mergeCell ref="E87"/>
    <mergeCell ref="F87"/>
    <mergeCell ref="G87"/>
    <mergeCell ref="H87"/>
    <mergeCell ref="I87"/>
    <mergeCell ref="J87"/>
    <mergeCell ref="K87"/>
    <mergeCell ref="C86:D86"/>
    <mergeCell ref="E86"/>
    <mergeCell ref="F86"/>
    <mergeCell ref="G86"/>
    <mergeCell ref="H86"/>
    <mergeCell ref="I84"/>
    <mergeCell ref="J84"/>
    <mergeCell ref="K84"/>
    <mergeCell ref="C85:D85"/>
    <mergeCell ref="E85"/>
    <mergeCell ref="F85"/>
    <mergeCell ref="G85"/>
    <mergeCell ref="H85"/>
    <mergeCell ref="I85"/>
    <mergeCell ref="J85"/>
    <mergeCell ref="K85"/>
    <mergeCell ref="C84:D84"/>
    <mergeCell ref="E84"/>
    <mergeCell ref="F84"/>
    <mergeCell ref="G84"/>
    <mergeCell ref="H84"/>
    <mergeCell ref="I82"/>
    <mergeCell ref="J82"/>
    <mergeCell ref="K82"/>
    <mergeCell ref="C83:D83"/>
    <mergeCell ref="E83"/>
    <mergeCell ref="F83"/>
    <mergeCell ref="G83"/>
    <mergeCell ref="H83"/>
    <mergeCell ref="I83"/>
    <mergeCell ref="J83"/>
    <mergeCell ref="K83"/>
    <mergeCell ref="C82:D82"/>
    <mergeCell ref="E82"/>
    <mergeCell ref="F82"/>
    <mergeCell ref="G82"/>
    <mergeCell ref="H82"/>
    <mergeCell ref="I80"/>
    <mergeCell ref="J80"/>
    <mergeCell ref="K80"/>
    <mergeCell ref="C81:D81"/>
    <mergeCell ref="E81"/>
    <mergeCell ref="F81"/>
    <mergeCell ref="G81"/>
    <mergeCell ref="H81"/>
    <mergeCell ref="I81"/>
    <mergeCell ref="J81"/>
    <mergeCell ref="K81"/>
    <mergeCell ref="C80:D80"/>
    <mergeCell ref="E80"/>
    <mergeCell ref="F80"/>
    <mergeCell ref="G80"/>
    <mergeCell ref="H80"/>
    <mergeCell ref="I78"/>
    <mergeCell ref="J78"/>
    <mergeCell ref="K78"/>
    <mergeCell ref="C79:D79"/>
    <mergeCell ref="E79"/>
    <mergeCell ref="F79"/>
    <mergeCell ref="G79"/>
    <mergeCell ref="H79"/>
    <mergeCell ref="I79"/>
    <mergeCell ref="J79"/>
    <mergeCell ref="K79"/>
    <mergeCell ref="C78:D78"/>
    <mergeCell ref="E78"/>
    <mergeCell ref="F78"/>
    <mergeCell ref="G78"/>
    <mergeCell ref="H78"/>
    <mergeCell ref="I76"/>
    <mergeCell ref="J76"/>
    <mergeCell ref="K76"/>
    <mergeCell ref="C77:D77"/>
    <mergeCell ref="E77"/>
    <mergeCell ref="F77"/>
    <mergeCell ref="G77"/>
    <mergeCell ref="H77"/>
    <mergeCell ref="I77"/>
    <mergeCell ref="J77"/>
    <mergeCell ref="K77"/>
    <mergeCell ref="C76:D76"/>
    <mergeCell ref="E76"/>
    <mergeCell ref="F76"/>
    <mergeCell ref="G76"/>
    <mergeCell ref="H76"/>
    <mergeCell ref="I74"/>
    <mergeCell ref="J74"/>
    <mergeCell ref="K74"/>
    <mergeCell ref="C75:D75"/>
    <mergeCell ref="E75"/>
    <mergeCell ref="F75"/>
    <mergeCell ref="G75"/>
    <mergeCell ref="H75"/>
    <mergeCell ref="I75"/>
    <mergeCell ref="J75"/>
    <mergeCell ref="K75"/>
    <mergeCell ref="C74:D74"/>
    <mergeCell ref="E74"/>
    <mergeCell ref="F74"/>
    <mergeCell ref="G74"/>
    <mergeCell ref="H74"/>
    <mergeCell ref="I72"/>
    <mergeCell ref="J72"/>
    <mergeCell ref="K72"/>
    <mergeCell ref="C73:D73"/>
    <mergeCell ref="E73"/>
    <mergeCell ref="F73"/>
    <mergeCell ref="G73"/>
    <mergeCell ref="H73"/>
    <mergeCell ref="I73"/>
    <mergeCell ref="J73"/>
    <mergeCell ref="K73"/>
    <mergeCell ref="C72:D72"/>
    <mergeCell ref="E72"/>
    <mergeCell ref="F72"/>
    <mergeCell ref="G72"/>
    <mergeCell ref="H72"/>
    <mergeCell ref="I70"/>
    <mergeCell ref="J70"/>
    <mergeCell ref="K70"/>
    <mergeCell ref="C71:D71"/>
    <mergeCell ref="E71"/>
    <mergeCell ref="F71"/>
    <mergeCell ref="G71"/>
    <mergeCell ref="H71"/>
    <mergeCell ref="I71"/>
    <mergeCell ref="J71"/>
    <mergeCell ref="K71"/>
    <mergeCell ref="C70:D70"/>
    <mergeCell ref="E70"/>
    <mergeCell ref="F70"/>
    <mergeCell ref="G70"/>
    <mergeCell ref="H70"/>
    <mergeCell ref="I68"/>
    <mergeCell ref="J68"/>
    <mergeCell ref="K68"/>
    <mergeCell ref="C69:D69"/>
    <mergeCell ref="E69"/>
    <mergeCell ref="F69"/>
    <mergeCell ref="G69"/>
    <mergeCell ref="H69"/>
    <mergeCell ref="I69"/>
    <mergeCell ref="J69"/>
    <mergeCell ref="K69"/>
    <mergeCell ref="C68:D68"/>
    <mergeCell ref="E68"/>
    <mergeCell ref="F68"/>
    <mergeCell ref="G68"/>
    <mergeCell ref="H68"/>
    <mergeCell ref="I66"/>
    <mergeCell ref="J66"/>
    <mergeCell ref="K66"/>
    <mergeCell ref="C67:D67"/>
    <mergeCell ref="E67"/>
    <mergeCell ref="F67"/>
    <mergeCell ref="G67"/>
    <mergeCell ref="H67"/>
    <mergeCell ref="I67"/>
    <mergeCell ref="J67"/>
    <mergeCell ref="K67"/>
    <mergeCell ref="C66:D66"/>
    <mergeCell ref="E66"/>
    <mergeCell ref="F66"/>
    <mergeCell ref="G66"/>
    <mergeCell ref="H66"/>
    <mergeCell ref="I64"/>
    <mergeCell ref="J64"/>
    <mergeCell ref="K64"/>
    <mergeCell ref="C65:D65"/>
    <mergeCell ref="E65"/>
    <mergeCell ref="F65"/>
    <mergeCell ref="G65"/>
    <mergeCell ref="H65"/>
    <mergeCell ref="I65"/>
    <mergeCell ref="J65"/>
    <mergeCell ref="K65"/>
    <mergeCell ref="C64:D64"/>
    <mergeCell ref="E64"/>
    <mergeCell ref="F64"/>
    <mergeCell ref="G64"/>
    <mergeCell ref="H64"/>
    <mergeCell ref="I62"/>
    <mergeCell ref="J62"/>
    <mergeCell ref="K62"/>
    <mergeCell ref="C63:D63"/>
    <mergeCell ref="E63"/>
    <mergeCell ref="F63"/>
    <mergeCell ref="G63"/>
    <mergeCell ref="H63"/>
    <mergeCell ref="I63"/>
    <mergeCell ref="J63"/>
    <mergeCell ref="K63"/>
    <mergeCell ref="C62:D62"/>
    <mergeCell ref="E62"/>
    <mergeCell ref="F62"/>
    <mergeCell ref="G62"/>
    <mergeCell ref="H62"/>
    <mergeCell ref="I60"/>
    <mergeCell ref="J60"/>
    <mergeCell ref="K60"/>
    <mergeCell ref="C61:D61"/>
    <mergeCell ref="E61"/>
    <mergeCell ref="F61"/>
    <mergeCell ref="G61"/>
    <mergeCell ref="H61"/>
    <mergeCell ref="I61"/>
    <mergeCell ref="J61"/>
    <mergeCell ref="K61"/>
    <mergeCell ref="C60:D60"/>
    <mergeCell ref="E60"/>
    <mergeCell ref="F60"/>
    <mergeCell ref="G60"/>
    <mergeCell ref="H60"/>
    <mergeCell ref="I58"/>
    <mergeCell ref="J58"/>
    <mergeCell ref="K58"/>
    <mergeCell ref="C59:D59"/>
    <mergeCell ref="E59"/>
    <mergeCell ref="F59"/>
    <mergeCell ref="G59"/>
    <mergeCell ref="H59"/>
    <mergeCell ref="I59"/>
    <mergeCell ref="J59"/>
    <mergeCell ref="K59"/>
    <mergeCell ref="C58:D58"/>
    <mergeCell ref="E58"/>
    <mergeCell ref="F58"/>
    <mergeCell ref="G58"/>
    <mergeCell ref="H58"/>
    <mergeCell ref="I56"/>
    <mergeCell ref="J56"/>
    <mergeCell ref="K56"/>
    <mergeCell ref="C57:D57"/>
    <mergeCell ref="E57"/>
    <mergeCell ref="F57"/>
    <mergeCell ref="G57"/>
    <mergeCell ref="H57"/>
    <mergeCell ref="I57"/>
    <mergeCell ref="J57"/>
    <mergeCell ref="K57"/>
    <mergeCell ref="C56:D56"/>
    <mergeCell ref="E56"/>
    <mergeCell ref="F56"/>
    <mergeCell ref="G56"/>
    <mergeCell ref="H56"/>
    <mergeCell ref="I54"/>
    <mergeCell ref="J54"/>
    <mergeCell ref="K54"/>
    <mergeCell ref="C55:D55"/>
    <mergeCell ref="E55"/>
    <mergeCell ref="F55"/>
    <mergeCell ref="G55"/>
    <mergeCell ref="H55"/>
    <mergeCell ref="I55"/>
    <mergeCell ref="J55"/>
    <mergeCell ref="K55"/>
    <mergeCell ref="C54:D54"/>
    <mergeCell ref="E54"/>
    <mergeCell ref="F54"/>
    <mergeCell ref="G54"/>
    <mergeCell ref="H54"/>
    <mergeCell ref="I52"/>
    <mergeCell ref="J52"/>
    <mergeCell ref="K52"/>
    <mergeCell ref="C53:D53"/>
    <mergeCell ref="E53"/>
    <mergeCell ref="F53"/>
    <mergeCell ref="G53"/>
    <mergeCell ref="H53"/>
    <mergeCell ref="I53"/>
    <mergeCell ref="J53"/>
    <mergeCell ref="K53"/>
    <mergeCell ref="C52:D52"/>
    <mergeCell ref="E52"/>
    <mergeCell ref="F52"/>
    <mergeCell ref="G52"/>
    <mergeCell ref="H52"/>
    <mergeCell ref="I50"/>
    <mergeCell ref="J50"/>
    <mergeCell ref="K50"/>
    <mergeCell ref="C51:D51"/>
    <mergeCell ref="E51"/>
    <mergeCell ref="F51"/>
    <mergeCell ref="G51"/>
    <mergeCell ref="H51"/>
    <mergeCell ref="I51"/>
    <mergeCell ref="J51"/>
    <mergeCell ref="K51"/>
    <mergeCell ref="C50:D50"/>
    <mergeCell ref="E50"/>
    <mergeCell ref="F50"/>
    <mergeCell ref="G50"/>
    <mergeCell ref="H50"/>
    <mergeCell ref="I48"/>
    <mergeCell ref="J48"/>
    <mergeCell ref="K48"/>
    <mergeCell ref="C49:D49"/>
    <mergeCell ref="E49"/>
    <mergeCell ref="F49"/>
    <mergeCell ref="G49"/>
    <mergeCell ref="H49"/>
    <mergeCell ref="I49"/>
    <mergeCell ref="J49"/>
    <mergeCell ref="K49"/>
    <mergeCell ref="C48:D48"/>
    <mergeCell ref="E48"/>
    <mergeCell ref="F48"/>
    <mergeCell ref="G48"/>
    <mergeCell ref="H48"/>
    <mergeCell ref="I46"/>
    <mergeCell ref="J46"/>
    <mergeCell ref="K46"/>
    <mergeCell ref="C47:D47"/>
    <mergeCell ref="E47"/>
    <mergeCell ref="F47"/>
    <mergeCell ref="G47"/>
    <mergeCell ref="H47"/>
    <mergeCell ref="I47"/>
    <mergeCell ref="J47"/>
    <mergeCell ref="K47"/>
    <mergeCell ref="C46:D46"/>
    <mergeCell ref="E46"/>
    <mergeCell ref="F46"/>
    <mergeCell ref="G46"/>
    <mergeCell ref="H46"/>
    <mergeCell ref="I44"/>
    <mergeCell ref="J44"/>
    <mergeCell ref="K44"/>
    <mergeCell ref="C45:D45"/>
    <mergeCell ref="E45"/>
    <mergeCell ref="F45"/>
    <mergeCell ref="G45"/>
    <mergeCell ref="H45"/>
    <mergeCell ref="I45"/>
    <mergeCell ref="J45"/>
    <mergeCell ref="K45"/>
    <mergeCell ref="C44:D44"/>
    <mergeCell ref="E44"/>
    <mergeCell ref="F44"/>
    <mergeCell ref="G44"/>
    <mergeCell ref="H44"/>
    <mergeCell ref="I42"/>
    <mergeCell ref="J42"/>
    <mergeCell ref="K42"/>
    <mergeCell ref="C43:D43"/>
    <mergeCell ref="E43"/>
    <mergeCell ref="F43"/>
    <mergeCell ref="G43"/>
    <mergeCell ref="H43"/>
    <mergeCell ref="I43"/>
    <mergeCell ref="J43"/>
    <mergeCell ref="K43"/>
    <mergeCell ref="C42:D42"/>
    <mergeCell ref="E42"/>
    <mergeCell ref="F42"/>
    <mergeCell ref="G42"/>
    <mergeCell ref="H42"/>
    <mergeCell ref="I40"/>
    <mergeCell ref="J40"/>
    <mergeCell ref="K40"/>
    <mergeCell ref="C41:D41"/>
    <mergeCell ref="E41"/>
    <mergeCell ref="F41"/>
    <mergeCell ref="G41"/>
    <mergeCell ref="H41"/>
    <mergeCell ref="I41"/>
    <mergeCell ref="J41"/>
    <mergeCell ref="K41"/>
    <mergeCell ref="C40:D40"/>
    <mergeCell ref="E40"/>
    <mergeCell ref="F40"/>
    <mergeCell ref="G40"/>
    <mergeCell ref="H40"/>
    <mergeCell ref="I38"/>
    <mergeCell ref="J38"/>
    <mergeCell ref="K38"/>
    <mergeCell ref="C39:D39"/>
    <mergeCell ref="E39"/>
    <mergeCell ref="F39"/>
    <mergeCell ref="G39"/>
    <mergeCell ref="H39"/>
    <mergeCell ref="I39"/>
    <mergeCell ref="J39"/>
    <mergeCell ref="K39"/>
    <mergeCell ref="C38:D38"/>
    <mergeCell ref="E38"/>
    <mergeCell ref="F38"/>
    <mergeCell ref="G38"/>
    <mergeCell ref="H38"/>
    <mergeCell ref="I36"/>
    <mergeCell ref="J36"/>
    <mergeCell ref="K36"/>
    <mergeCell ref="C37:D37"/>
    <mergeCell ref="E37"/>
    <mergeCell ref="F37"/>
    <mergeCell ref="G37"/>
    <mergeCell ref="H37"/>
    <mergeCell ref="I37"/>
    <mergeCell ref="J37"/>
    <mergeCell ref="K37"/>
    <mergeCell ref="C36:D36"/>
    <mergeCell ref="E36"/>
    <mergeCell ref="F36"/>
    <mergeCell ref="G36"/>
    <mergeCell ref="H36"/>
    <mergeCell ref="I34"/>
    <mergeCell ref="J34"/>
    <mergeCell ref="K34"/>
    <mergeCell ref="C35:D35"/>
    <mergeCell ref="E35"/>
    <mergeCell ref="F35"/>
    <mergeCell ref="G35"/>
    <mergeCell ref="H35"/>
    <mergeCell ref="I35"/>
    <mergeCell ref="J35"/>
    <mergeCell ref="K35"/>
    <mergeCell ref="C34:D34"/>
    <mergeCell ref="E34"/>
    <mergeCell ref="F34"/>
    <mergeCell ref="G34"/>
    <mergeCell ref="H34"/>
    <mergeCell ref="I32"/>
    <mergeCell ref="J32"/>
    <mergeCell ref="K32"/>
    <mergeCell ref="C33:D33"/>
    <mergeCell ref="E33"/>
    <mergeCell ref="F33"/>
    <mergeCell ref="G33"/>
    <mergeCell ref="H33"/>
    <mergeCell ref="I33"/>
    <mergeCell ref="J33"/>
    <mergeCell ref="K33"/>
    <mergeCell ref="C32:D32"/>
    <mergeCell ref="E32"/>
    <mergeCell ref="F32"/>
    <mergeCell ref="G32"/>
    <mergeCell ref="H32"/>
    <mergeCell ref="I30"/>
    <mergeCell ref="J30"/>
    <mergeCell ref="K30"/>
    <mergeCell ref="C31:D31"/>
    <mergeCell ref="E31"/>
    <mergeCell ref="F31"/>
    <mergeCell ref="G31"/>
    <mergeCell ref="H31"/>
    <mergeCell ref="I31"/>
    <mergeCell ref="J31"/>
    <mergeCell ref="K31"/>
    <mergeCell ref="C30:D30"/>
    <mergeCell ref="E30"/>
    <mergeCell ref="F30"/>
    <mergeCell ref="G30"/>
    <mergeCell ref="H30"/>
    <mergeCell ref="I28"/>
    <mergeCell ref="J28"/>
    <mergeCell ref="K28"/>
    <mergeCell ref="C29:D29"/>
    <mergeCell ref="E29"/>
    <mergeCell ref="F29"/>
    <mergeCell ref="G29"/>
    <mergeCell ref="H29"/>
    <mergeCell ref="I29"/>
    <mergeCell ref="J29"/>
    <mergeCell ref="K29"/>
    <mergeCell ref="C28:D28"/>
    <mergeCell ref="E28"/>
    <mergeCell ref="F28"/>
    <mergeCell ref="G28"/>
    <mergeCell ref="H28"/>
    <mergeCell ref="I26"/>
    <mergeCell ref="J26"/>
    <mergeCell ref="K26"/>
    <mergeCell ref="C27:D27"/>
    <mergeCell ref="E27"/>
    <mergeCell ref="F27"/>
    <mergeCell ref="G27"/>
    <mergeCell ref="H27"/>
    <mergeCell ref="I27"/>
    <mergeCell ref="J27"/>
    <mergeCell ref="K27"/>
    <mergeCell ref="C26:D26"/>
    <mergeCell ref="E26"/>
    <mergeCell ref="F26"/>
    <mergeCell ref="G26"/>
    <mergeCell ref="H26"/>
    <mergeCell ref="I24"/>
    <mergeCell ref="J24"/>
    <mergeCell ref="K24"/>
    <mergeCell ref="C25:D25"/>
    <mergeCell ref="E25"/>
    <mergeCell ref="F25"/>
    <mergeCell ref="G25"/>
    <mergeCell ref="H25"/>
    <mergeCell ref="I25"/>
    <mergeCell ref="J25"/>
    <mergeCell ref="K25"/>
    <mergeCell ref="C24:D24"/>
    <mergeCell ref="E24"/>
    <mergeCell ref="F24"/>
    <mergeCell ref="G24"/>
    <mergeCell ref="H24"/>
    <mergeCell ref="I22"/>
    <mergeCell ref="J22"/>
    <mergeCell ref="K22"/>
    <mergeCell ref="C23:D23"/>
    <mergeCell ref="E23"/>
    <mergeCell ref="F23"/>
    <mergeCell ref="G23"/>
    <mergeCell ref="H23"/>
    <mergeCell ref="I23"/>
    <mergeCell ref="J23"/>
    <mergeCell ref="K23"/>
    <mergeCell ref="C22:D22"/>
    <mergeCell ref="E22"/>
    <mergeCell ref="F22"/>
    <mergeCell ref="G22"/>
    <mergeCell ref="H22"/>
    <mergeCell ref="I20"/>
    <mergeCell ref="J20"/>
    <mergeCell ref="K20"/>
    <mergeCell ref="C21:D21"/>
    <mergeCell ref="E21"/>
    <mergeCell ref="F21"/>
    <mergeCell ref="G21"/>
    <mergeCell ref="H21"/>
    <mergeCell ref="I21"/>
    <mergeCell ref="J21"/>
    <mergeCell ref="K21"/>
    <mergeCell ref="C20:D20"/>
    <mergeCell ref="E20"/>
    <mergeCell ref="F20"/>
    <mergeCell ref="G20"/>
    <mergeCell ref="H20"/>
    <mergeCell ref="I18"/>
    <mergeCell ref="J18"/>
    <mergeCell ref="K18"/>
    <mergeCell ref="C19:D19"/>
    <mergeCell ref="E19"/>
    <mergeCell ref="F19"/>
    <mergeCell ref="G19"/>
    <mergeCell ref="H19"/>
    <mergeCell ref="I19"/>
    <mergeCell ref="J19"/>
    <mergeCell ref="K19"/>
    <mergeCell ref="C18:D18"/>
    <mergeCell ref="E18"/>
    <mergeCell ref="F18"/>
    <mergeCell ref="G18"/>
    <mergeCell ref="H18"/>
    <mergeCell ref="I16"/>
    <mergeCell ref="J16"/>
    <mergeCell ref="K16"/>
    <mergeCell ref="C17:D17"/>
    <mergeCell ref="E17"/>
    <mergeCell ref="F17"/>
    <mergeCell ref="G17"/>
    <mergeCell ref="H17"/>
    <mergeCell ref="I17"/>
    <mergeCell ref="J17"/>
    <mergeCell ref="K17"/>
    <mergeCell ref="C16:D16"/>
    <mergeCell ref="E16"/>
    <mergeCell ref="F16"/>
    <mergeCell ref="G16"/>
    <mergeCell ref="H16"/>
    <mergeCell ref="C13:K13"/>
    <mergeCell ref="C14:D15"/>
    <mergeCell ref="E14:E15"/>
    <mergeCell ref="F14:F15"/>
    <mergeCell ref="G14:G15"/>
    <mergeCell ref="H14:H15"/>
    <mergeCell ref="I14:I15"/>
    <mergeCell ref="J14:J15"/>
    <mergeCell ref="K14:K15"/>
    <mergeCell ref="C7:K7"/>
    <mergeCell ref="C8:K8"/>
    <mergeCell ref="C9:K9"/>
    <mergeCell ref="C10:K10"/>
    <mergeCell ref="C11:K11"/>
  </mergeCells>
  <dataValidations count="1">
    <dataValidation type="decimal" operator="greaterThanOrEqual" showErrorMessage="1" errorTitle="Kesalahan Jenis Data" error="Data yang dimasukkan harus berupa Angka!" sqref="G16:K115" xr:uid="{00000000-0002-0000-0600-000000000000}">
      <formula1>-1000000000000000000</formula1>
      <formula2>1000000000000000000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Umum</vt:lpstr>
      <vt:lpstr>Cover</vt:lpstr>
      <vt:lpstr>Validasi</vt:lpstr>
      <vt:lpstr>LSDK</vt:lpstr>
      <vt:lpstr>LSTAKDKP</vt:lpstr>
      <vt:lpstr>LTAKDK</vt:lpstr>
      <vt:lpstr>LRTAK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saraful anam</cp:lastModifiedBy>
  <dcterms:modified xsi:type="dcterms:W3CDTF">2025-01-08T07:58:49Z</dcterms:modified>
</cp:coreProperties>
</file>